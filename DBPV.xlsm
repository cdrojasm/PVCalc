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\Documents\PythonProy\"/>
    </mc:Choice>
  </mc:AlternateContent>
  <bookViews>
    <workbookView xWindow="0" yWindow="0" windowWidth="20490" windowHeight="7050" firstSheet="4" activeTab="4"/>
  </bookViews>
  <sheets>
    <sheet name="AF" sheetId="11" r:id="rId1"/>
    <sheet name="Irradiación" sheetId="6" r:id="rId2"/>
    <sheet name="Cálculo sistema" sheetId="1" state="hidden" r:id="rId3"/>
    <sheet name="Cableado-Acometida" sheetId="14" r:id="rId4"/>
    <sheet name="Cálculo sistema (2)" sheetId="12" r:id="rId5"/>
    <sheet name="Cab&amp;Con" sheetId="16" r:id="rId6"/>
    <sheet name="Baterias" sheetId="7" r:id="rId7"/>
    <sheet name="Controladores" sheetId="5" r:id="rId8"/>
    <sheet name="Paneles" sheetId="4" r:id="rId9"/>
    <sheet name="Inversores" sheetId="8" r:id="rId10"/>
    <sheet name="Hoja2" sheetId="21" r:id="rId11"/>
  </sheets>
  <definedNames>
    <definedName name="ExternalData_1" localSheetId="1" hidden="1">Irradiación!$A$1:$H$1841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12" l="1"/>
  <c r="K29" i="4"/>
  <c r="J29" i="4"/>
  <c r="I29" i="4"/>
  <c r="C51" i="12"/>
  <c r="C50" i="12"/>
  <c r="C49" i="12"/>
  <c r="C48" i="12"/>
  <c r="C47" i="12"/>
  <c r="H13" i="21"/>
  <c r="E13" i="21"/>
  <c r="D13" i="21"/>
  <c r="C13" i="21"/>
  <c r="B13" i="21"/>
  <c r="A13" i="21"/>
  <c r="J155" i="12"/>
  <c r="G13" i="21" s="1"/>
  <c r="I155" i="12"/>
  <c r="F13" i="21" s="1"/>
  <c r="A1" i="21"/>
  <c r="B1" i="21"/>
  <c r="C1" i="21"/>
  <c r="D1" i="21"/>
  <c r="E1" i="21"/>
  <c r="F1" i="21"/>
  <c r="G1" i="21"/>
  <c r="H1" i="21"/>
  <c r="A2" i="21"/>
  <c r="H2" i="21"/>
  <c r="B3" i="21"/>
  <c r="C3" i="21"/>
  <c r="E3" i="21"/>
  <c r="H3" i="21"/>
  <c r="B4" i="21"/>
  <c r="H4" i="21"/>
  <c r="B5" i="21"/>
  <c r="C5" i="21"/>
  <c r="H5" i="21"/>
  <c r="B6" i="21"/>
  <c r="C6" i="21"/>
  <c r="E6" i="21"/>
  <c r="H6" i="21"/>
  <c r="B7" i="21"/>
  <c r="C7" i="21"/>
  <c r="E7" i="21"/>
  <c r="H7" i="21"/>
  <c r="B8" i="21"/>
  <c r="C8" i="21"/>
  <c r="H8" i="21"/>
  <c r="A9" i="21"/>
  <c r="B9" i="21"/>
  <c r="C9" i="21"/>
  <c r="H9" i="21"/>
  <c r="A10" i="21"/>
  <c r="B10" i="21"/>
  <c r="C10" i="21"/>
  <c r="D10" i="21"/>
  <c r="E10" i="21"/>
  <c r="H10" i="21"/>
  <c r="A11" i="21"/>
  <c r="B11" i="21"/>
  <c r="C11" i="21"/>
  <c r="E11" i="21"/>
  <c r="H11" i="21"/>
  <c r="A12" i="21"/>
  <c r="B12" i="21"/>
  <c r="C12" i="21"/>
  <c r="E12" i="21"/>
  <c r="H12" i="21"/>
  <c r="E14" i="21"/>
  <c r="J154" i="12"/>
  <c r="G12" i="21" s="1"/>
  <c r="I154" i="12"/>
  <c r="F12" i="21" s="1"/>
  <c r="J147" i="12"/>
  <c r="G3" i="21" s="1"/>
  <c r="M10" i="7" l="1"/>
  <c r="I150" i="12"/>
  <c r="F6" i="21" s="1"/>
  <c r="J153" i="12"/>
  <c r="G10" i="21" s="1"/>
  <c r="G11" i="21"/>
  <c r="E89" i="12"/>
  <c r="F146" i="12"/>
  <c r="D2" i="21" s="1"/>
  <c r="C117" i="12"/>
  <c r="F11" i="21"/>
  <c r="Q15" i="12" l="1"/>
  <c r="E97" i="12" l="1"/>
  <c r="I153" i="12"/>
  <c r="F10" i="21" s="1"/>
  <c r="B147" i="12"/>
  <c r="F151" i="12"/>
  <c r="D8" i="21" s="1"/>
  <c r="H152" i="12"/>
  <c r="F152" i="12"/>
  <c r="D9" i="21" s="1"/>
  <c r="C66" i="12"/>
  <c r="C64" i="12"/>
  <c r="C61" i="12"/>
  <c r="D11" i="16"/>
  <c r="D16" i="16"/>
  <c r="D15" i="16"/>
  <c r="D10" i="16"/>
  <c r="D9" i="16"/>
  <c r="D8" i="16"/>
  <c r="D7" i="16"/>
  <c r="D6" i="16"/>
  <c r="D20" i="16"/>
  <c r="D19" i="16"/>
  <c r="D18" i="16"/>
  <c r="D17" i="16"/>
  <c r="D5" i="16"/>
  <c r="D4" i="16"/>
  <c r="D3" i="16"/>
  <c r="D2" i="16"/>
  <c r="D14" i="16"/>
  <c r="D13" i="16"/>
  <c r="D12" i="16"/>
  <c r="C120" i="12"/>
  <c r="C124" i="12"/>
  <c r="C122" i="12"/>
  <c r="B148" i="12" l="1"/>
  <c r="A4" i="21" s="1"/>
  <c r="A3" i="21"/>
  <c r="J152" i="12"/>
  <c r="G9" i="21" s="1"/>
  <c r="E9" i="21"/>
  <c r="H16" i="12"/>
  <c r="D11" i="21" s="1"/>
  <c r="I152" i="12"/>
  <c r="F9" i="21" s="1"/>
  <c r="F117" i="12"/>
  <c r="K12" i="4"/>
  <c r="J12" i="4"/>
  <c r="I12" i="4"/>
  <c r="K13" i="4"/>
  <c r="J13" i="4"/>
  <c r="I13" i="4"/>
  <c r="K9" i="4"/>
  <c r="J9" i="4"/>
  <c r="I9" i="4"/>
  <c r="K26" i="4"/>
  <c r="J26" i="4"/>
  <c r="I26" i="4"/>
  <c r="K8" i="4"/>
  <c r="J8" i="4"/>
  <c r="I8" i="4"/>
  <c r="K5" i="4"/>
  <c r="J5" i="4"/>
  <c r="I5" i="4"/>
  <c r="K16" i="4"/>
  <c r="J16" i="4"/>
  <c r="I16" i="4"/>
  <c r="K7" i="4"/>
  <c r="J7" i="4"/>
  <c r="I7" i="4"/>
  <c r="K15" i="4"/>
  <c r="J15" i="4"/>
  <c r="I15" i="4"/>
  <c r="K14" i="4"/>
  <c r="J14" i="4"/>
  <c r="I14" i="4"/>
  <c r="K10" i="4"/>
  <c r="J10" i="4"/>
  <c r="I10" i="4"/>
  <c r="K11" i="4"/>
  <c r="J11" i="4"/>
  <c r="I11" i="4"/>
  <c r="K23" i="4"/>
  <c r="J23" i="4"/>
  <c r="I23" i="4"/>
  <c r="K17" i="4"/>
  <c r="J17" i="4"/>
  <c r="I17" i="4"/>
  <c r="K22" i="4"/>
  <c r="J22" i="4"/>
  <c r="I22" i="4"/>
  <c r="K20" i="4"/>
  <c r="J20" i="4"/>
  <c r="I20" i="4"/>
  <c r="K19" i="4"/>
  <c r="J19" i="4"/>
  <c r="I19" i="4"/>
  <c r="K28" i="4"/>
  <c r="J28" i="4"/>
  <c r="I28" i="4"/>
  <c r="K27" i="4"/>
  <c r="J27" i="4"/>
  <c r="I27" i="4"/>
  <c r="K25" i="4"/>
  <c r="J25" i="4"/>
  <c r="I25" i="4"/>
  <c r="K24" i="4"/>
  <c r="J24" i="4"/>
  <c r="I24" i="4"/>
  <c r="K21" i="4"/>
  <c r="J21" i="4"/>
  <c r="I21" i="4"/>
  <c r="K18" i="4"/>
  <c r="J18" i="4"/>
  <c r="I18" i="4"/>
  <c r="K6" i="4"/>
  <c r="J6" i="4"/>
  <c r="I6" i="4"/>
  <c r="K4" i="4"/>
  <c r="J4" i="4"/>
  <c r="I4" i="4"/>
  <c r="K3" i="4"/>
  <c r="J3" i="4"/>
  <c r="I3" i="4"/>
  <c r="K2" i="4"/>
  <c r="J2" i="4"/>
  <c r="I2" i="4"/>
  <c r="E30" i="12"/>
  <c r="E102" i="12"/>
  <c r="E46" i="12" l="1"/>
  <c r="Q2" i="12"/>
  <c r="R2" i="12" s="1"/>
  <c r="F140" i="12"/>
  <c r="F139" i="12"/>
  <c r="F138" i="12"/>
  <c r="F137" i="12"/>
  <c r="C123" i="12"/>
  <c r="B149" i="12"/>
  <c r="C125" i="12"/>
  <c r="J150" i="12" s="1"/>
  <c r="G6" i="21" s="1"/>
  <c r="F149" i="12"/>
  <c r="D5" i="21" s="1"/>
  <c r="E28" i="12"/>
  <c r="H148" i="12"/>
  <c r="E4" i="21" s="1"/>
  <c r="F148" i="12"/>
  <c r="D4" i="21" s="1"/>
  <c r="K43" i="12"/>
  <c r="C146" i="12" s="1"/>
  <c r="B2" i="21" s="1"/>
  <c r="E96" i="12"/>
  <c r="H146" i="12"/>
  <c r="E2" i="21" s="1"/>
  <c r="M16" i="4"/>
  <c r="G7" i="21" l="1"/>
  <c r="F7" i="21"/>
  <c r="B150" i="12"/>
  <c r="A5" i="21"/>
  <c r="F141" i="12"/>
  <c r="H151" i="12" s="1"/>
  <c r="H149" i="12"/>
  <c r="E5" i="21" s="1"/>
  <c r="U16" i="14"/>
  <c r="U17" i="14" s="1"/>
  <c r="I151" i="12" l="1"/>
  <c r="E8" i="21"/>
  <c r="A6" i="21"/>
  <c r="F25" i="14"/>
  <c r="F24" i="14"/>
  <c r="F23" i="14"/>
  <c r="F26" i="14" s="1"/>
  <c r="A8" i="21" l="1"/>
  <c r="A7" i="21"/>
  <c r="J151" i="12"/>
  <c r="G8" i="21" s="1"/>
  <c r="F8" i="21"/>
  <c r="E48" i="12"/>
  <c r="F46" i="12"/>
  <c r="F36" i="12"/>
  <c r="F33" i="12"/>
  <c r="B83" i="1"/>
  <c r="C71" i="1"/>
  <c r="D41" i="1"/>
  <c r="E92" i="12"/>
  <c r="J93" i="12" s="1"/>
  <c r="G82" i="12"/>
  <c r="I77" i="12"/>
  <c r="E39" i="12"/>
  <c r="E32" i="12"/>
  <c r="I15" i="12"/>
  <c r="I16" i="12" s="1"/>
  <c r="F119" i="12" s="1"/>
  <c r="G4" i="12"/>
  <c r="F4" i="12"/>
  <c r="K107" i="1"/>
  <c r="L107" i="1" s="1"/>
  <c r="F120" i="12" l="1"/>
  <c r="K15" i="12"/>
  <c r="L15" i="12" s="1"/>
  <c r="P15" i="12"/>
  <c r="Q17" i="12"/>
  <c r="K16" i="12"/>
  <c r="E47" i="12"/>
  <c r="F47" i="12" s="1"/>
  <c r="K39" i="12"/>
  <c r="L39" i="12" s="1"/>
  <c r="L38" i="12"/>
  <c r="M38" i="12" s="1"/>
  <c r="I93" i="12"/>
  <c r="P17" i="12" l="1"/>
  <c r="L16" i="12"/>
  <c r="H20" i="12"/>
  <c r="L18" i="12" l="1"/>
  <c r="H23" i="12" s="1"/>
  <c r="H22" i="12"/>
  <c r="E87" i="12"/>
  <c r="G91" i="12" s="1"/>
  <c r="F40" i="12" l="1"/>
  <c r="C44" i="12" s="1"/>
  <c r="E44" i="12" s="1"/>
  <c r="G33" i="12"/>
  <c r="F87" i="12"/>
  <c r="G88" i="12" s="1"/>
  <c r="G89" i="12" s="1"/>
  <c r="G90" i="12" s="1"/>
  <c r="I88" i="12"/>
  <c r="E91" i="12"/>
  <c r="F91" i="12"/>
  <c r="J95" i="12" s="1"/>
  <c r="J94" i="12" s="1"/>
  <c r="F95" i="12" s="1"/>
  <c r="F44" i="12" a="1"/>
  <c r="F41" i="12" l="1"/>
  <c r="E146" i="12"/>
  <c r="C2" i="21" s="1"/>
  <c r="C133" i="12"/>
  <c r="I95" i="12"/>
  <c r="I94" i="12" s="1"/>
  <c r="E95" i="12" s="1"/>
  <c r="C132" i="12" s="1"/>
  <c r="F147" i="12"/>
  <c r="D3" i="21" s="1"/>
  <c r="F44" i="12"/>
  <c r="E50" i="12"/>
  <c r="I149" i="12"/>
  <c r="E45" i="12"/>
  <c r="I53" i="12" s="1"/>
  <c r="G39" i="12"/>
  <c r="I43" i="12" a="1"/>
  <c r="J149" i="12" l="1"/>
  <c r="G5" i="21" s="1"/>
  <c r="F5" i="21"/>
  <c r="I89" i="12"/>
  <c r="E103" i="12"/>
  <c r="E148" i="12"/>
  <c r="C130" i="12"/>
  <c r="C129" i="12"/>
  <c r="C131" i="12"/>
  <c r="F150" i="12" s="1"/>
  <c r="D6" i="21" s="1"/>
  <c r="E105" i="12"/>
  <c r="D7" i="21"/>
  <c r="I147" i="12"/>
  <c r="F3" i="21" s="1"/>
  <c r="I43" i="12"/>
  <c r="I44" i="12" s="1"/>
  <c r="H44" i="12" s="1"/>
  <c r="H51" i="12" s="1"/>
  <c r="C65" i="12" s="1"/>
  <c r="I148" i="12" l="1"/>
  <c r="F4" i="21" s="1"/>
  <c r="C4" i="21"/>
  <c r="H43" i="12"/>
  <c r="H45" i="12" s="1"/>
  <c r="H49" i="12"/>
  <c r="C57" i="12" s="1"/>
  <c r="H50" i="12"/>
  <c r="G61" i="12" s="1"/>
  <c r="G62" i="12" s="1"/>
  <c r="F89" i="1"/>
  <c r="E55" i="1"/>
  <c r="D57" i="1"/>
  <c r="D55" i="1"/>
  <c r="V30" i="1"/>
  <c r="V31" i="1" s="1"/>
  <c r="E53" i="1" a="1"/>
  <c r="J148" i="12" l="1"/>
  <c r="G4" i="21" s="1"/>
  <c r="H52" i="12"/>
  <c r="C52" i="12"/>
  <c r="I146" i="12" s="1"/>
  <c r="I157" i="12" s="1"/>
  <c r="E53" i="1"/>
  <c r="F71" i="1"/>
  <c r="H107" i="1"/>
  <c r="H66" i="1"/>
  <c r="K54" i="1"/>
  <c r="G120" i="1"/>
  <c r="M15" i="4"/>
  <c r="F14" i="21" l="1"/>
  <c r="F2" i="21"/>
  <c r="J146" i="12"/>
  <c r="J157" i="12" s="1"/>
  <c r="H110" i="1"/>
  <c r="I110" i="1" s="1"/>
  <c r="J110" i="1" s="1"/>
  <c r="J107" i="1"/>
  <c r="D56" i="1"/>
  <c r="E56" i="1" s="1"/>
  <c r="C63" i="1"/>
  <c r="G14" i="21" l="1"/>
  <c r="G2" i="21"/>
  <c r="K110" i="1"/>
  <c r="H112" i="1" s="1"/>
  <c r="K112" i="1"/>
  <c r="K157" i="12" l="1"/>
  <c r="H14" i="21" s="1"/>
  <c r="M30" i="6"/>
  <c r="N30" i="6"/>
  <c r="O30" i="6"/>
  <c r="P30" i="6"/>
  <c r="M29" i="6"/>
  <c r="N29" i="6"/>
  <c r="O29" i="6"/>
  <c r="P29" i="6"/>
  <c r="M28" i="6"/>
  <c r="N28" i="6"/>
  <c r="O28" i="6"/>
  <c r="P28" i="6"/>
  <c r="M27" i="6"/>
  <c r="N27" i="6"/>
  <c r="O27" i="6"/>
  <c r="P27" i="6"/>
  <c r="M26" i="6"/>
  <c r="N26" i="6"/>
  <c r="O26" i="6"/>
  <c r="P26" i="6"/>
  <c r="M25" i="6"/>
  <c r="N25" i="6"/>
  <c r="O25" i="6"/>
  <c r="P25" i="6"/>
  <c r="M24" i="6"/>
  <c r="N24" i="6"/>
  <c r="O24" i="6"/>
  <c r="P24" i="6"/>
  <c r="M23" i="6"/>
  <c r="N23" i="6"/>
  <c r="O23" i="6"/>
  <c r="P23" i="6"/>
  <c r="M22" i="6"/>
  <c r="N22" i="6"/>
  <c r="O22" i="6"/>
  <c r="P22" i="6"/>
  <c r="M21" i="6"/>
  <c r="N21" i="6"/>
  <c r="O21" i="6"/>
  <c r="P21" i="6"/>
  <c r="L30" i="6"/>
  <c r="L29" i="6"/>
  <c r="L28" i="6"/>
  <c r="L27" i="6"/>
  <c r="L26" i="6"/>
  <c r="L25" i="6"/>
  <c r="L24" i="6"/>
  <c r="L23" i="6"/>
  <c r="L22" i="6"/>
  <c r="L21" i="6"/>
  <c r="M20" i="6"/>
  <c r="N20" i="6"/>
  <c r="O20" i="6"/>
  <c r="P20" i="6"/>
  <c r="L20" i="6"/>
  <c r="M19" i="6"/>
  <c r="N19" i="6"/>
  <c r="O19" i="6"/>
  <c r="P19" i="6"/>
  <c r="L19" i="6"/>
  <c r="P8" i="6" l="1"/>
  <c r="P9" i="6"/>
  <c r="P10" i="6"/>
  <c r="P11" i="6"/>
  <c r="P12" i="6"/>
  <c r="P13" i="6"/>
  <c r="P14" i="6"/>
  <c r="P15" i="6"/>
  <c r="P7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G25" i="1"/>
  <c r="H21" i="1"/>
  <c r="P6" i="6" l="1"/>
  <c r="M14" i="6"/>
  <c r="M15" i="6"/>
  <c r="L7" i="6"/>
  <c r="L14" i="6"/>
  <c r="L15" i="6"/>
  <c r="H20" i="1"/>
  <c r="J37" i="1"/>
  <c r="M19" i="1"/>
  <c r="L17" i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L4" i="6" s="1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L5" i="6" s="1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L6" i="6" s="1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L8" i="6" s="1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L9" i="6" s="1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L10" i="6" s="1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L11" i="6" s="1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L12" i="6" s="1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L13" i="6" s="1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M4" i="6" s="1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M5" i="6" s="1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M6" i="6" s="1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M7" i="6" s="1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M8" i="6" s="1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M9" i="6" s="1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M10" i="6" s="1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M11" i="6" s="1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M12" i="6" s="1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M13" i="6" s="1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N4" i="6" s="1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N5" i="6" s="1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N6" i="6" s="1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N7" i="6" s="1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N8" i="6" s="1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N9" i="6" s="1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N10" i="6" s="1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N11" i="6" s="1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N12" i="6" s="1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N13" i="6" s="1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N14" i="6" s="1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N15" i="6" s="1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O4" i="6" s="1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O5" i="6" s="1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O6" i="6" s="1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O7" i="6" s="1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O8" i="6" s="1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O9" i="6" s="1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O10" i="6" s="1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O11" i="6" s="1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O12" i="6" s="1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O13" i="6" s="1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O14" i="6" s="1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O15" i="6" s="1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P4" i="6" s="1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P5" i="6" s="1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U12" i="6" l="1"/>
  <c r="U13" i="6"/>
  <c r="U6" i="6"/>
  <c r="U15" i="6"/>
  <c r="U14" i="6"/>
  <c r="U8" i="6"/>
  <c r="U5" i="6"/>
  <c r="U4" i="6"/>
  <c r="U7" i="6"/>
  <c r="U9" i="6"/>
  <c r="U10" i="6"/>
  <c r="U11" i="6"/>
  <c r="H19" i="1"/>
  <c r="J19" i="1" l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I82" i="1" l="1"/>
  <c r="H82" i="1"/>
  <c r="F36" i="1" l="1"/>
  <c r="E4" i="1" l="1"/>
  <c r="AM47" i="1" l="1"/>
  <c r="AM48" i="1"/>
  <c r="AM49" i="1"/>
  <c r="AM50" i="1"/>
  <c r="AM51" i="1"/>
  <c r="AM52" i="1"/>
  <c r="AM53" i="1"/>
  <c r="AM54" i="1"/>
  <c r="AM55" i="1"/>
  <c r="AM56" i="1"/>
  <c r="AM58" i="1"/>
  <c r="AM60" i="1"/>
  <c r="AM61" i="1"/>
  <c r="AM62" i="1"/>
  <c r="AM63" i="1"/>
  <c r="AM64" i="1"/>
  <c r="AM65" i="1"/>
  <c r="AM66" i="1"/>
  <c r="AM67" i="1"/>
  <c r="AM68" i="1"/>
  <c r="AM69" i="1"/>
  <c r="AM46" i="1"/>
  <c r="J48" i="1"/>
  <c r="K48" i="1" s="1"/>
  <c r="K47" i="1"/>
  <c r="L47" i="1" s="1"/>
  <c r="D48" i="1"/>
  <c r="F4" i="1" l="1"/>
  <c r="H18" i="1" l="1"/>
  <c r="J18" i="1" s="1"/>
  <c r="K18" i="1" s="1"/>
  <c r="H17" i="1"/>
  <c r="J17" i="1" s="1"/>
  <c r="K17" i="1" s="1"/>
  <c r="H15" i="1"/>
  <c r="J15" i="1" s="1"/>
  <c r="K15" i="1" s="1"/>
  <c r="H16" i="1"/>
  <c r="J16" i="1" s="1"/>
  <c r="K16" i="1" s="1"/>
  <c r="J25" i="1" l="1"/>
  <c r="J26" i="1" s="1"/>
  <c r="J28" i="1" s="1"/>
  <c r="G29" i="1" l="1"/>
  <c r="D76" i="1" s="1"/>
  <c r="K25" i="1"/>
  <c r="K26" i="1" l="1"/>
  <c r="E10" i="11"/>
  <c r="E11" i="11" s="1"/>
  <c r="G31" i="1"/>
  <c r="E76" i="1"/>
  <c r="F77" i="1" s="1"/>
  <c r="F78" i="1" s="1"/>
  <c r="F79" i="1" s="1"/>
  <c r="L75" i="1"/>
  <c r="F39" i="1"/>
  <c r="E49" i="1"/>
  <c r="C53" i="1" s="1"/>
  <c r="D53" i="1" s="1"/>
  <c r="D80" i="1"/>
  <c r="H84" i="1" s="1"/>
  <c r="H83" i="1" s="1"/>
  <c r="D84" i="1" s="1"/>
  <c r="D112" i="1" l="1"/>
  <c r="C112" i="1" s="1"/>
  <c r="D94" i="1"/>
  <c r="D54" i="1"/>
  <c r="H62" i="1" s="1"/>
  <c r="D59" i="1"/>
  <c r="F90" i="1"/>
  <c r="C61" i="1"/>
  <c r="L76" i="1"/>
  <c r="N75" i="1"/>
  <c r="E50" i="1"/>
  <c r="E80" i="1"/>
  <c r="I84" i="1" s="1"/>
  <c r="I83" i="1" s="1"/>
  <c r="E84" i="1" s="1"/>
  <c r="F48" i="1"/>
  <c r="H52" i="1" a="1"/>
  <c r="H52" i="1" l="1"/>
  <c r="H53" i="1" s="1"/>
  <c r="L80" i="1"/>
  <c r="N78" i="1"/>
  <c r="N79" i="1" s="1"/>
  <c r="N80" i="1" s="1"/>
  <c r="G52" i="1" l="1"/>
  <c r="G59" i="1"/>
  <c r="G53" i="1"/>
  <c r="G58" i="1"/>
  <c r="G54" i="1" l="1"/>
  <c r="G61" i="1" s="1"/>
  <c r="G60" i="1"/>
  <c r="E6" i="11" l="1"/>
  <c r="E15" i="11" s="1"/>
  <c r="E5" i="11" l="1"/>
  <c r="E14" i="11" s="1"/>
</calcChain>
</file>

<file path=xl/comments1.xml><?xml version="1.0" encoding="utf-8"?>
<comments xmlns="http://schemas.openxmlformats.org/spreadsheetml/2006/main">
  <authors>
    <author>CRISTIAN BEDOYA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CRISTIAN BEDOYA:</t>
        </r>
        <r>
          <rPr>
            <sz val="9"/>
            <color indexed="81"/>
            <rFont val="Tahoma"/>
            <family val="2"/>
          </rPr>
          <t xml:space="preserve">
En curso NYU: Full sun hours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CRISTIAN BEDOYA:</t>
        </r>
        <r>
          <rPr>
            <sz val="9"/>
            <color indexed="81"/>
            <rFont val="Tahoma"/>
            <family val="2"/>
          </rPr>
          <t xml:space="preserve">
https://core.ac.uk/download/pdf/287339787.pdf</t>
        </r>
      </text>
    </comment>
  </commentList>
</comments>
</file>

<file path=xl/comments2.xml><?xml version="1.0" encoding="utf-8"?>
<comments xmlns="http://schemas.openxmlformats.org/spreadsheetml/2006/main">
  <authors>
    <author>CRISTIAN BEDOYA</author>
    <author>Usuario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>CRISTIAN BEDOYA:</t>
        </r>
        <r>
          <rPr>
            <sz val="9"/>
            <color indexed="81"/>
            <rFont val="Tahoma"/>
            <family val="2"/>
          </rPr>
          <t xml:space="preserve">
En curso NYU: Full sun hours</t>
        </r>
      </text>
    </comment>
    <comment ref="O17" authorId="1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1. Todas las cargas son DC
2, Existen Cargas AC y DC 
3. Todas las Cargas son AC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CRISTIAN BEDOYA:</t>
        </r>
        <r>
          <rPr>
            <sz val="9"/>
            <color indexed="81"/>
            <rFont val="Tahoma"/>
            <family val="2"/>
          </rPr>
          <t xml:space="preserve">
https://core.ac.uk/download/pdf/287339787.pdf</t>
        </r>
      </text>
    </comment>
    <comment ref="D89" authorId="1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Este número indica hasta donde vamos a permitir la reducción del voltage en un evento de mayor consumo que generación respetando el máximo valor dado por el fabricante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Maximum power voltage-Vmp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Maximum Power Current-Imp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Short Circuit Current Isc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Open Circuit Voltage Voc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POWER_Regional_Daily_20150101_20190305_c11b3312" description="Connection to the 'POWER_Regional_Daily_20150101_20190305_c11b3312' query in the workbook." type="5" refreshedVersion="6" background="1" saveData="1">
    <dbPr connection="Provider=Microsoft.Mashup.OleDb.1;Data Source=$Workbook$;Location=POWER_Regional_Daily_20150101_20190305_c11b3312;Extended Properties=&quot;&quot;" command="SELECT * FROM [POWER_Regional_Daily_20150101_20190305_c11b331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<sst xmlns="http://schemas.openxmlformats.org/spreadsheetml/2006/main" count="13333" uniqueCount="612">
  <si>
    <t>Item</t>
  </si>
  <si>
    <t>Cantidad</t>
  </si>
  <si>
    <t>Referencia</t>
  </si>
  <si>
    <t>Potencia unitaria (W)</t>
  </si>
  <si>
    <t>Potencia Total (W)</t>
  </si>
  <si>
    <t>PANELES</t>
  </si>
  <si>
    <t>Potencia (Wp)</t>
  </si>
  <si>
    <t>Vmp</t>
  </si>
  <si>
    <t>Isc</t>
  </si>
  <si>
    <t xml:space="preserve">Eficiencia </t>
  </si>
  <si>
    <t xml:space="preserve">Serie </t>
  </si>
  <si>
    <t xml:space="preserve">Paralelo </t>
  </si>
  <si>
    <t xml:space="preserve">Configuración </t>
  </si>
  <si>
    <t>Wp</t>
  </si>
  <si>
    <t>Cantidad exact</t>
  </si>
  <si>
    <t>CARGAS INDIVIDUALES</t>
  </si>
  <si>
    <t>Consumo anual (kWh-año)</t>
  </si>
  <si>
    <t>CONSUMO ANUAL</t>
  </si>
  <si>
    <t>TOTAL kWh-año</t>
  </si>
  <si>
    <t>H uso diaria</t>
  </si>
  <si>
    <t>EFICIENCIA DEL SISTEMA</t>
  </si>
  <si>
    <t>Nivel de tensión de carga</t>
  </si>
  <si>
    <t xml:space="preserve">Temperatura sitio </t>
  </si>
  <si>
    <t>°C</t>
  </si>
  <si>
    <r>
      <t>kWh/m</t>
    </r>
    <r>
      <rPr>
        <vertAlign val="superscript"/>
        <sz val="11"/>
        <color theme="1"/>
        <rFont val="Calibri"/>
        <family val="2"/>
        <scheme val="minor"/>
      </rPr>
      <t>2</t>
    </r>
  </si>
  <si>
    <t>Mismatch and Dust factor</t>
  </si>
  <si>
    <t>Wiring Efficiency</t>
  </si>
  <si>
    <t xml:space="preserve">Inverter Efficiency </t>
  </si>
  <si>
    <t>Orientation Factor</t>
  </si>
  <si>
    <t>Eficciency</t>
  </si>
  <si>
    <t>Voc</t>
  </si>
  <si>
    <t>TOTAL CONSUMO ANUAL (kWh-año):</t>
  </si>
  <si>
    <t>BATERIAS</t>
  </si>
  <si>
    <t xml:space="preserve">INVERSOR </t>
  </si>
  <si>
    <t>CONTROLADOR</t>
  </si>
  <si>
    <t>Sistema</t>
  </si>
  <si>
    <t>Min:</t>
  </si>
  <si>
    <t>Max:</t>
  </si>
  <si>
    <t>Voltaje DC max</t>
  </si>
  <si>
    <t>Pv max</t>
  </si>
  <si>
    <t>DEPENDE DEL NIVEL DE VOLTAJE QUE SE QUIERA ALIMENTAR LAS BATERÍAS O LA CARGA DC</t>
  </si>
  <si>
    <t>Eficiencia</t>
  </si>
  <si>
    <t>Voltaje DC min</t>
  </si>
  <si>
    <t>Porcentaje que se pretende Ahorar</t>
  </si>
  <si>
    <t>rounded down</t>
  </si>
  <si>
    <t>Max Vdc input</t>
  </si>
  <si>
    <t>rounded up</t>
  </si>
  <si>
    <t>a</t>
  </si>
  <si>
    <t>-</t>
  </si>
  <si>
    <t>l</t>
  </si>
  <si>
    <t>Min por V paneles a controlador/inversor</t>
  </si>
  <si>
    <t xml:space="preserve">max por V paneles en serie a controlador/inversor </t>
  </si>
  <si>
    <t>#seriemax</t>
  </si>
  <si>
    <t>Wh-dia-año</t>
  </si>
  <si>
    <t xml:space="preserve">Referencia </t>
  </si>
  <si>
    <t>Voltaje</t>
  </si>
  <si>
    <t>Ep</t>
  </si>
  <si>
    <t>Autonomia (Días)</t>
  </si>
  <si>
    <t>Profundidad de descarga (%)</t>
  </si>
  <si>
    <t>eficiencia bateria-carga</t>
  </si>
  <si>
    <t>Cantidad necesaria</t>
  </si>
  <si>
    <t>Serie</t>
  </si>
  <si>
    <t>Paralelo</t>
  </si>
  <si>
    <t>A</t>
  </si>
  <si>
    <t>B</t>
  </si>
  <si>
    <t>Capacidad necesaria (Ah)</t>
  </si>
  <si>
    <t>Consumo (Ah-dia)</t>
  </si>
  <si>
    <t>Capacidad (Ah)</t>
  </si>
  <si>
    <t>Voltaje (V)</t>
  </si>
  <si>
    <t>Ciclo (h)</t>
  </si>
  <si>
    <t>Resumen</t>
  </si>
  <si>
    <t xml:space="preserve">RESUMEN </t>
  </si>
  <si>
    <t>tipo</t>
  </si>
  <si>
    <t xml:space="preserve">Vmp </t>
  </si>
  <si>
    <t>Imp</t>
  </si>
  <si>
    <t>200 Watts Monocristalino Resun</t>
  </si>
  <si>
    <t>Monocristalino</t>
  </si>
  <si>
    <t>Precio</t>
  </si>
  <si>
    <t>Dimesiones</t>
  </si>
  <si>
    <t>335 Watts AE Solar PowerPlus Mono</t>
  </si>
  <si>
    <t>370 Watts AE Solar PowerPlus Mono</t>
  </si>
  <si>
    <t>Jinko Cheetah 390 Watts</t>
  </si>
  <si>
    <t>100 Watts Resun Policristalino</t>
  </si>
  <si>
    <t>Policristalino</t>
  </si>
  <si>
    <t>220 Watts Policristalino Voltronic</t>
  </si>
  <si>
    <t>280 Watts Poli Einnova Solarline</t>
  </si>
  <si>
    <t>330 Watts Policristalino Talesun</t>
  </si>
  <si>
    <t>Proveedor</t>
  </si>
  <si>
    <t>Solartex</t>
  </si>
  <si>
    <t>345 Watts 144 Celdas Znshine Poli</t>
  </si>
  <si>
    <t>365 Watts Canadian Solar Poli</t>
  </si>
  <si>
    <t>Greencol</t>
  </si>
  <si>
    <t>Trina Solar 405W mono</t>
  </si>
  <si>
    <t>Fuente Conversor AC/DC 1606</t>
  </si>
  <si>
    <t>Fuente PLC 
2080-PS120-240VAC</t>
  </si>
  <si>
    <t>VEK - M2H</t>
  </si>
  <si>
    <t>Sirena SD 30W</t>
  </si>
  <si>
    <t>Controlador PWM 20A - 12V/24V</t>
  </si>
  <si>
    <t>Controlador PWM 10A - 12V/24V</t>
  </si>
  <si>
    <t>Controlador MPPT 20A - 12V/24V - LCD 100VDC</t>
  </si>
  <si>
    <t>Controlador MPPT 30A - 12V/24V - LCD 100VDC</t>
  </si>
  <si>
    <t>Controlador MPPT 40A - 12V/24V - LCD 100VDC</t>
  </si>
  <si>
    <t xml:space="preserve">Fabricante </t>
  </si>
  <si>
    <t>Controlador MPPT 60A - 12V/24v/48V - LCD 150VDC</t>
  </si>
  <si>
    <t>Controlador MPPT 100A - 12V/24v/48V - LCD 150VDC -</t>
  </si>
  <si>
    <t xml:space="preserve">Precio </t>
  </si>
  <si>
    <t>Controlador MPPT 10A 75v- 12V/24VDC - Ref Olmo</t>
  </si>
  <si>
    <t>Controlador MPPT 20A 75v- 12V/24VDC - Ref Olmo</t>
  </si>
  <si>
    <t>Controlador MPPT 30A 75v- 12V/24VDC - Ref Olmo</t>
  </si>
  <si>
    <t>Controlador MPPT 10A 150V-12/24 Ref ACACIA con pantalla LCD</t>
  </si>
  <si>
    <t>Controlador MPPT 20A 150V-12/24 Ref ACACIA con pantalla LCD</t>
  </si>
  <si>
    <t>Controlador MPPT 40A 150V-12/24 Ref ACACIA con pantalla LCD</t>
  </si>
  <si>
    <t>Controlador MPPT 40A 150V- 12/24/48 Ref ACACIA con pantalla LCD</t>
  </si>
  <si>
    <t>PS</t>
  </si>
  <si>
    <t>INTI</t>
  </si>
  <si>
    <t>Tipo</t>
  </si>
  <si>
    <t>PWM</t>
  </si>
  <si>
    <t>MPPT</t>
  </si>
  <si>
    <t>Controlador PWM 5A - 12V/24VDC</t>
  </si>
  <si>
    <t>Controlador PWM 10A - 12V/24VDC</t>
  </si>
  <si>
    <t>Victron Energy</t>
  </si>
  <si>
    <t>Controlador MPPT 15A - 12V/24VDC - 75/10</t>
  </si>
  <si>
    <t>Controlador MPPT 15A - 12V/24VDC - 75/15</t>
  </si>
  <si>
    <t>Controlador MPPT 15A - 12V/24VDC - 100/15</t>
  </si>
  <si>
    <t>Controlador MPPT 30A - 12V/24VDC - 100/30</t>
  </si>
  <si>
    <t>Controlador MPPT 35A - 12V/24/48VDC - 150/35</t>
  </si>
  <si>
    <t>Controlador MPPT 45A - 12V/24/48VDC - 150/45</t>
  </si>
  <si>
    <t>Controlador MPPT 50A - 12V/24VDC - 100/50</t>
  </si>
  <si>
    <t>Controlador MPPT 60A - 12V/24/48VDC - 150/60</t>
  </si>
  <si>
    <t>Controlador MPPT 85A - 12V/24/48VDC - 150/85</t>
  </si>
  <si>
    <t>Controlador MPPT 100A - 12V/24/48VDC - 150/100</t>
  </si>
  <si>
    <t>Vendedor</t>
  </si>
  <si>
    <t>Voltaje out  1</t>
  </si>
  <si>
    <t>Voltaje out 2</t>
  </si>
  <si>
    <t>Voltaje out 3</t>
  </si>
  <si>
    <t>Smartcam (11W)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</si>
  <si>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</si>
  <si>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</si>
  <si>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</si>
  <si>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</si>
  <si>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</si>
  <si>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</si>
  <si>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</si>
  <si>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</si>
  <si>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-BEGIN HEADER-</t>
  </si>
  <si>
    <t/>
  </si>
  <si>
    <t xml:space="preserve">NASA/POWER SRB/FLASHFlux/MERRA2/GEOS 5.12.4 (FP-IT) 0.5 x 0.5 Degree Daily Averaged Data </t>
  </si>
  <si>
    <t xml:space="preserve">Dates (month/day/year): 01/01/2015 through 03/05/2019 </t>
  </si>
  <si>
    <t xml:space="preserve">Location: Regional </t>
  </si>
  <si>
    <t xml:space="preserve">Elevation from MERRA-2: Average for 1/2x1/2 degree lat/lon region = na meters   Site = na </t>
  </si>
  <si>
    <t xml:space="preserve">Climate zone: na (reference Briggs et al: http://www.energycodes.gov) </t>
  </si>
  <si>
    <t xml:space="preserve">Value for missing model data cannot be computed or out of model availability range: -999 </t>
  </si>
  <si>
    <t xml:space="preserve">Parameter(s): </t>
  </si>
  <si>
    <t xml:space="preserve">KT SRB/FLASHFlux 1/2x1/2 Insolation Clearness Index (dimensionless) </t>
  </si>
  <si>
    <t xml:space="preserve">CLRSKY_SFC_SW_DWN SRB/FLASHFlux 1/2x1/2 Clear Sky Insolation Incident on a Horizontal Surface (kW-hr/m^2/day) </t>
  </si>
  <si>
    <t xml:space="preserve">ALLSKY_SFC_SW_DWN SRB/FLASHFlux 1/2x1/2 All Sky Insolation Incident on a Horizontal Surface (kW-hr/m^2/day) </t>
  </si>
  <si>
    <t>-END HEADER-</t>
  </si>
  <si>
    <t>LAT</t>
  </si>
  <si>
    <t>LON</t>
  </si>
  <si>
    <t>YEAR</t>
  </si>
  <si>
    <t>MO</t>
  </si>
  <si>
    <t>DY</t>
  </si>
  <si>
    <t>KT</t>
  </si>
  <si>
    <t>CLRSKY_SFC_SW_DWN</t>
  </si>
  <si>
    <t>6.75</t>
  </si>
  <si>
    <t>-75.25</t>
  </si>
  <si>
    <t>2015</t>
  </si>
  <si>
    <t>01</t>
  </si>
  <si>
    <t xml:space="preserve">              0.62</t>
  </si>
  <si>
    <t>-999</t>
  </si>
  <si>
    <t>02</t>
  </si>
  <si>
    <t xml:space="preserve">              0.68</t>
  </si>
  <si>
    <t>03</t>
  </si>
  <si>
    <t xml:space="preserve">              0.70</t>
  </si>
  <si>
    <t>04</t>
  </si>
  <si>
    <t>05</t>
  </si>
  <si>
    <t xml:space="preserve">              0.66</t>
  </si>
  <si>
    <t>06</t>
  </si>
  <si>
    <t>07</t>
  </si>
  <si>
    <t xml:space="preserve">              6.60</t>
  </si>
  <si>
    <t>08</t>
  </si>
  <si>
    <t xml:space="preserve">              0.56</t>
  </si>
  <si>
    <t>09</t>
  </si>
  <si>
    <t xml:space="preserve">              0.57</t>
  </si>
  <si>
    <t>10</t>
  </si>
  <si>
    <t xml:space="preserve">              0.61</t>
  </si>
  <si>
    <t>11</t>
  </si>
  <si>
    <t xml:space="preserve">               nan</t>
  </si>
  <si>
    <t>12</t>
  </si>
  <si>
    <t xml:space="preserve">              0.59</t>
  </si>
  <si>
    <t>13</t>
  </si>
  <si>
    <t xml:space="preserve">              0.34</t>
  </si>
  <si>
    <t>14</t>
  </si>
  <si>
    <t xml:space="preserve">              0.40</t>
  </si>
  <si>
    <t>15</t>
  </si>
  <si>
    <t xml:space="preserve">              0.47</t>
  </si>
  <si>
    <t>16</t>
  </si>
  <si>
    <t xml:space="preserve">              0.44</t>
  </si>
  <si>
    <t>17</t>
  </si>
  <si>
    <t>18</t>
  </si>
  <si>
    <t>19</t>
  </si>
  <si>
    <t xml:space="preserve">              0.53</t>
  </si>
  <si>
    <t>20</t>
  </si>
  <si>
    <t>21</t>
  </si>
  <si>
    <t xml:space="preserve">              0.43</t>
  </si>
  <si>
    <t>22</t>
  </si>
  <si>
    <t xml:space="preserve">              0.39</t>
  </si>
  <si>
    <t>23</t>
  </si>
  <si>
    <t>24</t>
  </si>
  <si>
    <t xml:space="preserve">              0.51</t>
  </si>
  <si>
    <t>25</t>
  </si>
  <si>
    <t xml:space="preserve">              0.42</t>
  </si>
  <si>
    <t>26</t>
  </si>
  <si>
    <t xml:space="preserve">              0.55</t>
  </si>
  <si>
    <t>27</t>
  </si>
  <si>
    <t>28</t>
  </si>
  <si>
    <t xml:space="preserve">              0.32</t>
  </si>
  <si>
    <t>29</t>
  </si>
  <si>
    <t xml:space="preserve">              0.58</t>
  </si>
  <si>
    <t>30</t>
  </si>
  <si>
    <t>31</t>
  </si>
  <si>
    <t xml:space="preserve">              0.41</t>
  </si>
  <si>
    <t xml:space="preserve">              0.54</t>
  </si>
  <si>
    <t xml:space="preserve">              0.49</t>
  </si>
  <si>
    <t xml:space="preserve">              0.45</t>
  </si>
  <si>
    <t xml:space="preserve">              0.30</t>
  </si>
  <si>
    <t xml:space="preserve">              0.22</t>
  </si>
  <si>
    <t xml:space="preserve">              0.33</t>
  </si>
  <si>
    <t xml:space="preserve">              0.26</t>
  </si>
  <si>
    <t xml:space="preserve">              0.35</t>
  </si>
  <si>
    <t xml:space="preserve">              0.37</t>
  </si>
  <si>
    <t xml:space="preserve">              0.48</t>
  </si>
  <si>
    <t xml:space="preserve">              0.60</t>
  </si>
  <si>
    <t xml:space="preserve">              0.46</t>
  </si>
  <si>
    <t xml:space="preserve">              0.65</t>
  </si>
  <si>
    <t xml:space="preserve">              0.50</t>
  </si>
  <si>
    <t xml:space="preserve">              0.52</t>
  </si>
  <si>
    <t xml:space="preserve">              0.27</t>
  </si>
  <si>
    <t xml:space="preserve">              0.63</t>
  </si>
  <si>
    <t xml:space="preserve">              0.36</t>
  </si>
  <si>
    <t xml:space="preserve">              0.28</t>
  </si>
  <si>
    <t xml:space="preserve">              0.29</t>
  </si>
  <si>
    <t xml:space="preserve">              0.25</t>
  </si>
  <si>
    <t xml:space="preserve">              0.31</t>
  </si>
  <si>
    <t xml:space="preserve">              7.29</t>
  </si>
  <si>
    <t xml:space="preserve">              7.38</t>
  </si>
  <si>
    <t xml:space="preserve">              0.38</t>
  </si>
  <si>
    <t xml:space="preserve">              0.69</t>
  </si>
  <si>
    <t xml:space="preserve">              0.67</t>
  </si>
  <si>
    <t xml:space="preserve">              7.03</t>
  </si>
  <si>
    <t xml:space="preserve">              0.64</t>
  </si>
  <si>
    <t xml:space="preserve">              0.71</t>
  </si>
  <si>
    <t xml:space="preserve">              0.24</t>
  </si>
  <si>
    <t>2016</t>
  </si>
  <si>
    <t xml:space="preserve">              6.55</t>
  </si>
  <si>
    <t xml:space="preserve">              6.53</t>
  </si>
  <si>
    <t xml:space="preserve">              0.23</t>
  </si>
  <si>
    <t xml:space="preserve">              0.19</t>
  </si>
  <si>
    <t xml:space="preserve">              7.30</t>
  </si>
  <si>
    <t xml:space="preserve">              0.18</t>
  </si>
  <si>
    <t>2017</t>
  </si>
  <si>
    <t xml:space="preserve">              6.73</t>
  </si>
  <si>
    <t xml:space="preserve">              0.13</t>
  </si>
  <si>
    <t xml:space="preserve">              0.21</t>
  </si>
  <si>
    <t xml:space="preserve">              7.33</t>
  </si>
  <si>
    <t xml:space="preserve">              7.15</t>
  </si>
  <si>
    <t xml:space="preserve">              0.14</t>
  </si>
  <si>
    <t xml:space="preserve">              0.16</t>
  </si>
  <si>
    <t xml:space="preserve">              6.63</t>
  </si>
  <si>
    <t>2018</t>
  </si>
  <si>
    <t xml:space="preserve">              6.98</t>
  </si>
  <si>
    <t>2019</t>
  </si>
  <si>
    <t>Column9</t>
  </si>
  <si>
    <t xml:space="preserve">Enero 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</si>
  <si>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</si>
  <si>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</si>
  <si>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</si>
  <si>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</si>
  <si>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</si>
  <si>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</si>
  <si>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</si>
  <si>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</si>
  <si>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</si>
  <si>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</si>
  <si>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</si>
  <si>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W</t>
  </si>
  <si>
    <t>ventilador</t>
  </si>
  <si>
    <t xml:space="preserve">Wh-dia </t>
  </si>
  <si>
    <t>Column10</t>
  </si>
  <si>
    <t>w banco</t>
  </si>
  <si>
    <t>WAC</t>
  </si>
  <si>
    <t>C banco baterias</t>
  </si>
  <si>
    <t>DOD</t>
  </si>
  <si>
    <t>V banco</t>
  </si>
  <si>
    <t xml:space="preserve">eficiencia </t>
  </si>
  <si>
    <t xml:space="preserve">Ah </t>
  </si>
  <si>
    <t>PMV</t>
  </si>
  <si>
    <t>Costo unitario</t>
  </si>
  <si>
    <t xml:space="preserve">              6.74</t>
  </si>
  <si>
    <t xml:space="preserve">              0.20</t>
  </si>
  <si>
    <t xml:space="preserve">              6.95</t>
  </si>
  <si>
    <t xml:space="preserve">              6.91</t>
  </si>
  <si>
    <t xml:space="preserve">              6.93</t>
  </si>
  <si>
    <t xml:space="preserve">              6.97</t>
  </si>
  <si>
    <t xml:space="preserve">              7.12</t>
  </si>
  <si>
    <t xml:space="preserve">              6.85</t>
  </si>
  <si>
    <t xml:space="preserve">              6.51</t>
  </si>
  <si>
    <t xml:space="preserve">              6.54</t>
  </si>
  <si>
    <t xml:space="preserve">              6.67</t>
  </si>
  <si>
    <t xml:space="preserve">              6.68</t>
  </si>
  <si>
    <t xml:space="preserve">              6.94</t>
  </si>
  <si>
    <t xml:space="preserve">              0.17</t>
  </si>
  <si>
    <t xml:space="preserve">              7.05</t>
  </si>
  <si>
    <t xml:space="preserve">              7.09</t>
  </si>
  <si>
    <t xml:space="preserve">              7.20</t>
  </si>
  <si>
    <t xml:space="preserve">              6.86</t>
  </si>
  <si>
    <t xml:space="preserve">              6.76</t>
  </si>
  <si>
    <t xml:space="preserve">              6.92</t>
  </si>
  <si>
    <t xml:space="preserve">              7.24</t>
  </si>
  <si>
    <t xml:space="preserve">              6.99</t>
  </si>
  <si>
    <t xml:space="preserve">              7.16</t>
  </si>
  <si>
    <t xml:space="preserve">              6.61</t>
  </si>
  <si>
    <t xml:space="preserve">              6.50</t>
  </si>
  <si>
    <t xml:space="preserve">              7.17</t>
  </si>
  <si>
    <t>2020</t>
  </si>
  <si>
    <t>unitario</t>
  </si>
  <si>
    <t xml:space="preserve">total </t>
  </si>
  <si>
    <t>Controler Efficiency</t>
  </si>
  <si>
    <t xml:space="preserve">Cantidad </t>
  </si>
  <si>
    <t>Inversor PV18-3048 LHM 3000W 48V 120V Must</t>
  </si>
  <si>
    <t>MIN Prom</t>
  </si>
  <si>
    <t>Batería 250 Amperes Ciclo Profundo Netion</t>
  </si>
  <si>
    <t>Panel Solar 465 Watts Jinko TIGER Mono</t>
  </si>
  <si>
    <t xml:space="preserve">Monocristalino </t>
  </si>
  <si>
    <t xml:space="preserve">Solaire </t>
  </si>
  <si>
    <t>Imax</t>
  </si>
  <si>
    <t xml:space="preserve">Peso kg </t>
  </si>
  <si>
    <t xml:space="preserve">Pasar a baterias de litio </t>
  </si>
  <si>
    <t xml:space="preserve">calcualr dimensiones y peso </t>
  </si>
  <si>
    <t>cimentación :</t>
  </si>
  <si>
    <t>profundidad 60</t>
  </si>
  <si>
    <t xml:space="preserve">aprox 220 largo por 170 alto </t>
  </si>
  <si>
    <t xml:space="preserve">Cables y accesoriosde tableros </t>
  </si>
  <si>
    <t xml:space="preserve">Falta protecciones </t>
  </si>
  <si>
    <t xml:space="preserve">Poner en notas ventajas de ley 1715 y el tramite </t>
  </si>
  <si>
    <t xml:space="preserve">Sobre esta base se pone tablero galvanaizado con pintura en polvo con 4 filas de baterias </t>
  </si>
  <si>
    <t xml:space="preserve">Este tablero es para baterias de litio </t>
  </si>
  <si>
    <t>cimentación:</t>
  </si>
  <si>
    <t>Estructura:</t>
  </si>
  <si>
    <t>tablero ventilado y antiV (baterias y control):</t>
  </si>
  <si>
    <t xml:space="preserve">BASEEE en acero galvanizado en caliente </t>
  </si>
  <si>
    <t xml:space="preserve">DIVIDIDO ENTRE 0,8 </t>
  </si>
  <si>
    <t xml:space="preserve">DIVIDIO ENTRE 0,7 </t>
  </si>
  <si>
    <t xml:space="preserve">Dejar en 20% rentabilidad </t>
  </si>
  <si>
    <t>INGENIERIA Y MONTAJE :</t>
  </si>
  <si>
    <t xml:space="preserve">TRANSPORTE DE EQUIPOS </t>
  </si>
  <si>
    <t xml:space="preserve"> DIAS DE GRUA</t>
  </si>
  <si>
    <t xml:space="preserve">OPERARIOS X 2 DIAS </t>
  </si>
  <si>
    <t xml:space="preserve">NO INCLUYE TIERRA NI APANTALLAMIENTO </t>
  </si>
  <si>
    <t xml:space="preserve">AÑADIR SISTEMA DE COMUNICACIONES PARA EL MONITOREO DEL SISTEMA SOLAR </t>
  </si>
  <si>
    <t>335 Watts 144 Celdas Znshine Poli</t>
  </si>
  <si>
    <t>Voc (V)</t>
  </si>
  <si>
    <t>Tablero</t>
  </si>
  <si>
    <t>Batería LifePO4 200Ah 12.8V Tb Plus</t>
  </si>
  <si>
    <t xml:space="preserve">Greencol </t>
  </si>
  <si>
    <t>Marca</t>
  </si>
  <si>
    <t>Narada</t>
  </si>
  <si>
    <t>KAISE</t>
  </si>
  <si>
    <t>Batería AGM 12VDC - 150AH</t>
  </si>
  <si>
    <t>tecnologia</t>
  </si>
  <si>
    <t>Litio</t>
  </si>
  <si>
    <t>GEL</t>
  </si>
  <si>
    <t xml:space="preserve">Litio </t>
  </si>
  <si>
    <t>AGM</t>
  </si>
  <si>
    <t>MTEK</t>
  </si>
  <si>
    <t>Netion</t>
  </si>
  <si>
    <t>Batería 150 Amperes AGM Netion</t>
  </si>
  <si>
    <t>Batería Kaise AGM 200Ah 12V</t>
  </si>
  <si>
    <t>Bateria VRLA AGM 55Ah 12 Voltios Kaise</t>
  </si>
  <si>
    <t>Precio sin iva</t>
  </si>
  <si>
    <t>Batería LifePO4 100Ah 12.8V Tb Plus</t>
  </si>
  <si>
    <t>Tb plus</t>
  </si>
  <si>
    <t>Batería AGM 12VDC - 26AH Greencol</t>
  </si>
  <si>
    <t>Batería AGM 12VDC - 55AH Greencol</t>
  </si>
  <si>
    <t>Batería AGM 12VDC - 75AH Greencol</t>
  </si>
  <si>
    <t>Batería AGM 12VDC - 100AH Greencol</t>
  </si>
  <si>
    <t>Batería AGM 12VDC - 120AH Greencol</t>
  </si>
  <si>
    <t>Batería AGM 12VDC - 150AH Greencol</t>
  </si>
  <si>
    <t>Batería de GEL 12VDC - 120AH Greencol</t>
  </si>
  <si>
    <t>Batería de GEL 12VDC - 200AH Greencol</t>
  </si>
  <si>
    <t>Batería de Litio MTEK 12,8v- 200AH G</t>
  </si>
  <si>
    <t>Batería de Litio MTEK 12,8v- 100AH G</t>
  </si>
  <si>
    <t>SISTEMA</t>
  </si>
  <si>
    <t>Capacidad Wh</t>
  </si>
  <si>
    <t>Generación de sistema por día Wh</t>
  </si>
  <si>
    <t>Consumo diario Wh</t>
  </si>
  <si>
    <t>Sin IVA</t>
  </si>
  <si>
    <t>Con IVA</t>
  </si>
  <si>
    <t>ENSICOM</t>
  </si>
  <si>
    <t xml:space="preserve">Deviteck </t>
  </si>
  <si>
    <t>CAPEX</t>
  </si>
  <si>
    <t xml:space="preserve">Tarifa energía $/kWh </t>
  </si>
  <si>
    <t>Energía ahorrada anual kWh</t>
  </si>
  <si>
    <t>OCV DC max</t>
  </si>
  <si>
    <t>max paralelo</t>
  </si>
  <si>
    <t xml:space="preserve">Max Serie V_MP </t>
  </si>
  <si>
    <t>Max Serie V_OC</t>
  </si>
  <si>
    <t>IMP (A)</t>
  </si>
  <si>
    <t>Potencia utilizada W</t>
  </si>
  <si>
    <t># paneles</t>
  </si>
  <si>
    <t># entero</t>
  </si>
  <si>
    <t>Vmp sistema</t>
  </si>
  <si>
    <t xml:space="preserve">Imp sistema </t>
  </si>
  <si>
    <t>I admitida</t>
  </si>
  <si>
    <t xml:space="preserve">Variar casilla negra para ver cual es la mejor configuracion tal que  potencia utilizada max con V max </t>
  </si>
  <si>
    <t># Paneles utilizados</t>
  </si>
  <si>
    <t xml:space="preserve"> </t>
  </si>
  <si>
    <t>TOTAL</t>
  </si>
  <si>
    <t>Capacidad necesaria a Vn (Ah)</t>
  </si>
  <si>
    <t>Vn</t>
  </si>
  <si>
    <t xml:space="preserve">Batería de GEL 12VDC - 150AH </t>
  </si>
  <si>
    <t xml:space="preserve">Batería de GEL 12VDC - 250AH </t>
  </si>
  <si>
    <t xml:space="preserve">Batería de Litio Narada 48v- 50AH </t>
  </si>
  <si>
    <t xml:space="preserve">Batería de Litio Narada 48v- 100AH </t>
  </si>
  <si>
    <t>Bateria estacionaria 700Ah - 2V</t>
  </si>
  <si>
    <t>MAGNA</t>
  </si>
  <si>
    <t>Estacionaria</t>
  </si>
  <si>
    <t>Imp(A)</t>
  </si>
  <si>
    <t xml:space="preserve">factor de sobredimensionamiento </t>
  </si>
  <si>
    <t>Datos eléctricos del Sistema</t>
  </si>
  <si>
    <t>400W Erasolar monocristalino</t>
  </si>
  <si>
    <t>Autosolar</t>
  </si>
  <si>
    <t>Peso (kg)</t>
  </si>
  <si>
    <t>Capacidad real de entrega (Wh)</t>
  </si>
  <si>
    <t>CAIDA DE TENSIÓN DEL CONDUCTOR AC</t>
  </si>
  <si>
    <t>ENTRADAS</t>
  </si>
  <si>
    <t>Nombre</t>
  </si>
  <si>
    <t>Descripcion</t>
  </si>
  <si>
    <t>Valor</t>
  </si>
  <si>
    <t>L</t>
  </si>
  <si>
    <t>Longitud del conductor (m)</t>
  </si>
  <si>
    <t>P</t>
  </si>
  <si>
    <t>Potencia de salida de inversores (W)</t>
  </si>
  <si>
    <t>fp</t>
  </si>
  <si>
    <t xml:space="preserve">Factor de potencia </t>
  </si>
  <si>
    <t>γ</t>
  </si>
  <si>
    <t>Conductividad del conductor en m/(ohm * mm2)</t>
  </si>
  <si>
    <t>X</t>
  </si>
  <si>
    <t xml:space="preserve">Reactancia de la linea </t>
  </si>
  <si>
    <t>n</t>
  </si>
  <si>
    <t>Numero de conductores por fase</t>
  </si>
  <si>
    <t>V</t>
  </si>
  <si>
    <t>%V</t>
  </si>
  <si>
    <t xml:space="preserve">Porcentaje maximo de caida de tensión </t>
  </si>
  <si>
    <t>SALIDAS</t>
  </si>
  <si>
    <t>I</t>
  </si>
  <si>
    <t>Corriente en el conductor (calcular con maxima) (A)</t>
  </si>
  <si>
    <t>sen phi</t>
  </si>
  <si>
    <t>ΔV</t>
  </si>
  <si>
    <t>Caida de tension maxima admisible en V</t>
  </si>
  <si>
    <t>S</t>
  </si>
  <si>
    <t xml:space="preserve">Sección minima del conductor </t>
  </si>
  <si>
    <t xml:space="preserve">Entradas </t>
  </si>
  <si>
    <t>Salidas</t>
  </si>
  <si>
    <t xml:space="preserve">Voltaje de caida maximo </t>
  </si>
  <si>
    <t>Seccion minima del conductor (mm2)</t>
  </si>
  <si>
    <t>Cableado Paneles hasta el controlador:</t>
  </si>
  <si>
    <t>TABLA NTC 2050 310-16</t>
  </si>
  <si>
    <t>m</t>
  </si>
  <si>
    <t xml:space="preserve">cable </t>
  </si>
  <si>
    <t>AWG #8</t>
  </si>
  <si>
    <t>&lt;</t>
  </si>
  <si>
    <t>Entrada</t>
  </si>
  <si>
    <t>ITEM</t>
  </si>
  <si>
    <t>N</t>
  </si>
  <si>
    <t>CANT</t>
  </si>
  <si>
    <t>Descripción</t>
  </si>
  <si>
    <t>Costo</t>
  </si>
  <si>
    <t>Rentabilidad</t>
  </si>
  <si>
    <t>BATERIA</t>
  </si>
  <si>
    <t>Costo Unitario</t>
  </si>
  <si>
    <t>TABLERO</t>
  </si>
  <si>
    <t>COTIZACIÓN</t>
  </si>
  <si>
    <t>Controlador MPPT 20 A ML2420 12/24VDC SRNE</t>
  </si>
  <si>
    <t>SRNE</t>
  </si>
  <si>
    <t>SOLARTEX</t>
  </si>
  <si>
    <t>MAX CURRENT INPUT</t>
  </si>
  <si>
    <t>PESO</t>
  </si>
  <si>
    <t>DIMENSIONES</t>
  </si>
  <si>
    <t>Largo</t>
  </si>
  <si>
    <t>Ancho</t>
  </si>
  <si>
    <t>Alto</t>
  </si>
  <si>
    <t>AREA BASE [cm^2]</t>
  </si>
  <si>
    <t>LADO MAS LARGO</t>
  </si>
  <si>
    <t>LADO MAS CORTO</t>
  </si>
  <si>
    <t>Peso</t>
  </si>
  <si>
    <t>PESO EQUIPOS TABLERO</t>
  </si>
  <si>
    <t>ACCESORIOS</t>
  </si>
  <si>
    <t xml:space="preserve">Canaleta </t>
  </si>
  <si>
    <t>SUPPLY</t>
  </si>
  <si>
    <t>DC</t>
  </si>
  <si>
    <t xml:space="preserve">Breakers DC </t>
  </si>
  <si>
    <t xml:space="preserve">Borneras </t>
  </si>
  <si>
    <t xml:space="preserve">Frenos </t>
  </si>
  <si>
    <t>Max Power Output</t>
  </si>
  <si>
    <t>1217X0995X0035</t>
  </si>
  <si>
    <t>2000X0992X0040</t>
  </si>
  <si>
    <t>1956X0992X0040</t>
  </si>
  <si>
    <t>2008X1002X0040</t>
  </si>
  <si>
    <t>1020X0670X0030</t>
  </si>
  <si>
    <t>1320X0992X0035</t>
  </si>
  <si>
    <t>1640X0992X0035</t>
  </si>
  <si>
    <t>1960X0992X0035</t>
  </si>
  <si>
    <t>2000X0992X0030</t>
  </si>
  <si>
    <t>2000X0992X0035</t>
  </si>
  <si>
    <t>160 Watts Resun Policristalino</t>
  </si>
  <si>
    <t>200 Watts Resun Policristalino</t>
  </si>
  <si>
    <t>280 Watts Talesun Policristalino</t>
  </si>
  <si>
    <t>90 Watts Resun Policristalino</t>
  </si>
  <si>
    <t>280 Watts ZNSHINE Policristalino</t>
  </si>
  <si>
    <t>Resun</t>
  </si>
  <si>
    <t>Voltronic</t>
  </si>
  <si>
    <t>Solarline</t>
  </si>
  <si>
    <t>Talesun</t>
  </si>
  <si>
    <t>AE Solar</t>
  </si>
  <si>
    <t>Jinko</t>
  </si>
  <si>
    <t>Canadian Solar</t>
  </si>
  <si>
    <t>ZnShine</t>
  </si>
  <si>
    <t>Erasolar</t>
  </si>
  <si>
    <t>Trina Solar</t>
  </si>
  <si>
    <t>0149X0067X0035</t>
  </si>
  <si>
    <t>1217x0992x0035</t>
  </si>
  <si>
    <t>1665X1002X0035</t>
  </si>
  <si>
    <t>1200X0540X0035</t>
  </si>
  <si>
    <t>1658X0992X0035</t>
  </si>
  <si>
    <t>2205X1032X0035</t>
  </si>
  <si>
    <t>1979X1002X0040</t>
  </si>
  <si>
    <t>410 Watts CanadianSolar</t>
  </si>
  <si>
    <t>2078X0992X0035</t>
  </si>
  <si>
    <t>2031X1011X0030</t>
  </si>
  <si>
    <t>Panel Solar 535 Watts jinko Monocristalino</t>
  </si>
  <si>
    <t>Panel Solar 470 Watts Jinko TIGER Monocristalino</t>
  </si>
  <si>
    <t>2274X1134X0035</t>
  </si>
  <si>
    <t>Panel Solar 370 Watts Csun Monocristalino</t>
  </si>
  <si>
    <t>Csun</t>
  </si>
  <si>
    <t>Panel Solar 400 Watts ERA Monocristalino</t>
  </si>
  <si>
    <t>Panel Solar 340 Watts ERA Policristanlino</t>
  </si>
  <si>
    <t>Panel Solar 400 Watts EcoGreen Monocristalinos</t>
  </si>
  <si>
    <t>Nuevo Producto</t>
  </si>
  <si>
    <t xml:space="preserve">Panel Solar 455 Watts JA Solar Monocristalino </t>
  </si>
  <si>
    <t>Profundidad</t>
  </si>
  <si>
    <t>1980X1002X0040</t>
  </si>
  <si>
    <t>EcoGreen</t>
  </si>
  <si>
    <t>2120X1052X0040</t>
  </si>
  <si>
    <t>JASolar</t>
  </si>
  <si>
    <t>Panel Solar 450 Watts JA Solar Monocristalino</t>
  </si>
  <si>
    <t>Tencologia</t>
  </si>
  <si>
    <t>=</t>
  </si>
  <si>
    <t>Max V Solar Input</t>
  </si>
  <si>
    <t>Max V Bat Input</t>
  </si>
  <si>
    <t>CABLEADO</t>
  </si>
  <si>
    <t>Voltaje DC MAX PANEL</t>
  </si>
  <si>
    <t>Voltaje DC min PANEL</t>
  </si>
  <si>
    <t>Compatible con Panel ?</t>
  </si>
  <si>
    <t>Compatible con arreglo de paneles ?</t>
  </si>
  <si>
    <t>Compatible con Carga ?</t>
  </si>
  <si>
    <t>UND</t>
  </si>
  <si>
    <t>Cable Fotovoltaico 1m 6mm</t>
  </si>
  <si>
    <t>Conector MC4 Doble 2 a 1</t>
  </si>
  <si>
    <t xml:space="preserve">Cable MC4 Triple 3 a 1 </t>
  </si>
  <si>
    <t>Cable fotovoltaico 5m 6mm MC4 en 1 extremo</t>
  </si>
  <si>
    <t>Cable fotovoltaico 10m 6mm MC4 en 1 extremo</t>
  </si>
  <si>
    <t>Cable fotovoltaico 15m 6mm MC4 en 1 extremo</t>
  </si>
  <si>
    <t>Cable fotovoltaico 20m 6mm MC4 en 1 extremo</t>
  </si>
  <si>
    <t>Cable Fotovoltaico 1m 4mm</t>
  </si>
  <si>
    <t>Cable Extensión MC4 2m 4mm</t>
  </si>
  <si>
    <t>Cable Extensión MC4 2m 6mm</t>
  </si>
  <si>
    <t>Cable Extensión MC4 1m 6mm</t>
  </si>
  <si>
    <t>Cable Extensión MC4 1m 4mm</t>
  </si>
  <si>
    <t>Cable N6 0,2m con conector plano ambos extremos</t>
  </si>
  <si>
    <t>Cable N6 1.5m con conector plano en un extremo</t>
  </si>
  <si>
    <t>Cable N6 2m con conector plano en un extremo</t>
  </si>
  <si>
    <t>Cable N6 0,88 con conector plano en ambos extremos</t>
  </si>
  <si>
    <t>Cable Solar 10m con conector MC4 2 extremos</t>
  </si>
  <si>
    <t>Cable solar 20m con conector MC4 2 extremos</t>
  </si>
  <si>
    <t>Cable solar 5m con conector MC4 2 extremos</t>
  </si>
  <si>
    <t>Tipo de conductor</t>
  </si>
  <si>
    <t>Cableado</t>
  </si>
  <si>
    <t>Capacidad de corriente</t>
  </si>
  <si>
    <t>Adecuado para I PVM ?</t>
  </si>
  <si>
    <t>I max</t>
  </si>
  <si>
    <t>Soporte Paneles</t>
  </si>
  <si>
    <t>SOPORTE PANELES SOLARES</t>
  </si>
  <si>
    <t>ASESORAMIENTO E INGENIERÍA</t>
  </si>
  <si>
    <t>Acompañamiento durante la instalación del sistema, elaboaración de manuales de instalación y respaldo durante la puesta en marcha.</t>
  </si>
  <si>
    <t>Sensor fotoelectrico de barrera, unidireccional</t>
  </si>
  <si>
    <t>TOL</t>
  </si>
  <si>
    <t>POT DC</t>
  </si>
  <si>
    <t>POT AC</t>
  </si>
  <si>
    <t>TECNOLOGÍA</t>
  </si>
  <si>
    <t>TOLERANCIA CALC</t>
  </si>
  <si>
    <t xml:space="preserve">Voltaje del BUS DC </t>
  </si>
  <si>
    <t>Ubicación</t>
  </si>
  <si>
    <t>Quindio</t>
  </si>
  <si>
    <t>Consumo diario Wh / dia</t>
  </si>
  <si>
    <t>Consumo diario Watts /h</t>
  </si>
  <si>
    <t>SOC</t>
  </si>
  <si>
    <t>,</t>
  </si>
  <si>
    <t>MANO DE OBRA TABLERO</t>
  </si>
  <si>
    <t>EMPAQUE</t>
  </si>
  <si>
    <t>10 Watts Policristalino</t>
  </si>
  <si>
    <t>RESUN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</si>
</sst>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[$-F400]h:mm:ss\ AM/PM"/>
    <numFmt numFmtId="165" formatCode="_-&quot;$&quot;\ * #,##0_-;\-&quot;$&quot;\ * #,##0_-;_-&quot;$&quot;\ * &quot;-&quot;??_-;_-@_-"/>
    <numFmt numFmtId="166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5" tint="0.3999755851924192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1">
    <xf numFmtId="0" fontId="0" fillId="0" borderId="0" xfId="0"/>
    <xf numFmtId="0" fontId="1" fillId="3" borderId="0" xfId="0" applyFont="1" applyFill="1"/>
    <xf numFmtId="0" fontId="0" fillId="4" borderId="0" xfId="0" applyFill="1"/>
    <xf numFmtId="0" fontId="5" fillId="4" borderId="0" xfId="0" applyFont="1" applyFill="1"/>
    <xf numFmtId="9" fontId="0" fillId="4" borderId="0" xfId="0" applyNumberFormat="1" applyFill="1"/>
    <xf numFmtId="0" fontId="0" fillId="4" borderId="0" xfId="0" applyFill="1" applyAlignment="1">
      <alignment horizontal="right"/>
    </xf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6" fillId="4" borderId="0" xfId="0" applyFont="1" applyFill="1"/>
    <xf numFmtId="0" fontId="6" fillId="4" borderId="0" xfId="0" applyFont="1" applyFill="1" applyAlignment="1">
      <alignment horizontal="right"/>
    </xf>
    <xf numFmtId="0" fontId="1" fillId="4" borderId="0" xfId="0" applyFont="1" applyFill="1"/>
    <xf numFmtId="0" fontId="1" fillId="4" borderId="0" xfId="0" applyFont="1" applyFill="1" applyAlignment="1">
      <alignment wrapText="1"/>
    </xf>
    <xf numFmtId="0" fontId="6" fillId="5" borderId="0" xfId="0" applyFont="1" applyFill="1"/>
    <xf numFmtId="164" fontId="0" fillId="4" borderId="0" xfId="0" applyNumberFormat="1" applyFill="1"/>
    <xf numFmtId="0" fontId="0" fillId="4" borderId="0" xfId="0" applyFill="1" applyAlignment="1">
      <alignment horizontal="center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2" fontId="0" fillId="4" borderId="0" xfId="0" applyNumberFormat="1" applyFill="1" applyAlignment="1">
      <alignment horizontal="left"/>
    </xf>
    <xf numFmtId="9" fontId="6" fillId="5" borderId="2" xfId="1" applyFont="1" applyFill="1" applyBorder="1"/>
    <xf numFmtId="0" fontId="0" fillId="7" borderId="0" xfId="0" applyFill="1"/>
    <xf numFmtId="0" fontId="0" fillId="4" borderId="0" xfId="0" applyFill="1" applyBorder="1"/>
    <xf numFmtId="0" fontId="0" fillId="8" borderId="0" xfId="0" applyFill="1"/>
    <xf numFmtId="0" fontId="6" fillId="4" borderId="0" xfId="0" applyFont="1" applyFill="1" applyBorder="1"/>
    <xf numFmtId="2" fontId="6" fillId="4" borderId="0" xfId="0" applyNumberFormat="1" applyFont="1" applyFill="1" applyBorder="1"/>
    <xf numFmtId="0" fontId="6" fillId="8" borderId="0" xfId="0" applyFont="1" applyFill="1" applyBorder="1"/>
    <xf numFmtId="0" fontId="8" fillId="3" borderId="0" xfId="0" applyFont="1" applyFill="1"/>
    <xf numFmtId="44" fontId="0" fillId="0" borderId="0" xfId="2" applyFont="1"/>
    <xf numFmtId="165" fontId="0" fillId="0" borderId="0" xfId="2" applyNumberFormat="1" applyFont="1"/>
    <xf numFmtId="9" fontId="0" fillId="0" borderId="0" xfId="1" applyFont="1"/>
    <xf numFmtId="0" fontId="0" fillId="4" borderId="0" xfId="0" applyFill="1" applyAlignment="1">
      <alignment horizontal="center"/>
    </xf>
    <xf numFmtId="9" fontId="10" fillId="8" borderId="0" xfId="0" applyNumberFormat="1" applyFont="1" applyFill="1"/>
    <xf numFmtId="0" fontId="1" fillId="0" borderId="7" xfId="0" applyFont="1" applyBorder="1"/>
    <xf numFmtId="0" fontId="0" fillId="0" borderId="0" xfId="0" applyNumberFormat="1"/>
    <xf numFmtId="2" fontId="0" fillId="9" borderId="0" xfId="0" applyNumberFormat="1" applyFill="1" applyAlignment="1">
      <alignment horizontal="left"/>
    </xf>
    <xf numFmtId="9" fontId="0" fillId="9" borderId="0" xfId="0" applyNumberFormat="1" applyFill="1"/>
    <xf numFmtId="0" fontId="1" fillId="4" borderId="0" xfId="0" applyFont="1" applyFill="1" applyAlignment="1">
      <alignment horizontal="left" indent="16"/>
    </xf>
    <xf numFmtId="0" fontId="0" fillId="9" borderId="0" xfId="0" applyFill="1"/>
    <xf numFmtId="0" fontId="0" fillId="10" borderId="0" xfId="0" applyFill="1"/>
    <xf numFmtId="2" fontId="0" fillId="11" borderId="0" xfId="0" applyNumberFormat="1" applyFill="1"/>
    <xf numFmtId="0" fontId="0" fillId="11" borderId="0" xfId="0" applyFill="1"/>
    <xf numFmtId="44" fontId="0" fillId="11" borderId="0" xfId="2" applyFont="1" applyFill="1"/>
    <xf numFmtId="44" fontId="0" fillId="4" borderId="0" xfId="2" applyFont="1" applyFill="1"/>
    <xf numFmtId="44" fontId="0" fillId="4" borderId="0" xfId="0" applyNumberFormat="1" applyFill="1"/>
    <xf numFmtId="3" fontId="0" fillId="4" borderId="0" xfId="0" applyNumberFormat="1" applyFill="1"/>
    <xf numFmtId="3" fontId="0" fillId="11" borderId="0" xfId="0" applyNumberFormat="1" applyFill="1"/>
    <xf numFmtId="0" fontId="12" fillId="4" borderId="0" xfId="0" applyFont="1" applyFill="1"/>
    <xf numFmtId="165" fontId="0" fillId="4" borderId="0" xfId="2" applyNumberFormat="1" applyFont="1" applyFill="1"/>
    <xf numFmtId="0" fontId="0" fillId="2" borderId="0" xfId="0" applyFill="1"/>
    <xf numFmtId="0" fontId="0" fillId="12" borderId="0" xfId="0" applyFill="1"/>
    <xf numFmtId="0" fontId="1" fillId="12" borderId="0" xfId="0" applyFont="1" applyFill="1"/>
    <xf numFmtId="3" fontId="0" fillId="0" borderId="0" xfId="0" applyNumberFormat="1"/>
    <xf numFmtId="166" fontId="0" fillId="4" borderId="0" xfId="0" applyNumberFormat="1" applyFill="1"/>
    <xf numFmtId="0" fontId="0" fillId="0" borderId="0" xfId="0" applyFill="1"/>
    <xf numFmtId="44" fontId="0" fillId="0" borderId="0" xfId="2" applyFont="1" applyFill="1"/>
    <xf numFmtId="0" fontId="0" fillId="0" borderId="9" xfId="0" applyFont="1" applyBorder="1"/>
    <xf numFmtId="0" fontId="13" fillId="13" borderId="0" xfId="0" applyFont="1" applyFill="1"/>
    <xf numFmtId="3" fontId="13" fillId="13" borderId="0" xfId="0" applyNumberFormat="1" applyFont="1" applyFill="1"/>
    <xf numFmtId="0" fontId="14" fillId="13" borderId="0" xfId="0" applyFont="1" applyFill="1"/>
    <xf numFmtId="3" fontId="14" fillId="13" borderId="0" xfId="0" applyNumberFormat="1" applyFont="1" applyFill="1"/>
    <xf numFmtId="166" fontId="0" fillId="0" borderId="0" xfId="0" applyNumberFormat="1"/>
    <xf numFmtId="0" fontId="1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5" fillId="15" borderId="0" xfId="0" applyFont="1" applyFill="1"/>
    <xf numFmtId="0" fontId="15" fillId="5" borderId="0" xfId="0" applyFont="1" applyFill="1"/>
    <xf numFmtId="0" fontId="15" fillId="5" borderId="0" xfId="0" applyFont="1" applyFill="1" applyAlignment="1"/>
    <xf numFmtId="0" fontId="13" fillId="13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4" borderId="0" xfId="1" applyFont="1" applyFill="1"/>
    <xf numFmtId="10" fontId="0" fillId="0" borderId="0" xfId="0" applyNumberFormat="1"/>
    <xf numFmtId="0" fontId="16" fillId="0" borderId="0" xfId="0" applyFont="1"/>
    <xf numFmtId="0" fontId="0" fillId="5" borderId="0" xfId="0" applyFill="1" applyProtection="1"/>
    <xf numFmtId="9" fontId="5" fillId="8" borderId="0" xfId="0" applyNumberFormat="1" applyFont="1" applyFill="1"/>
    <xf numFmtId="0" fontId="13" fillId="13" borderId="0" xfId="0" applyFont="1" applyFill="1" applyAlignment="1">
      <alignment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wrapText="1"/>
    </xf>
    <xf numFmtId="0" fontId="17" fillId="0" borderId="0" xfId="0" applyFont="1"/>
    <xf numFmtId="10" fontId="0" fillId="0" borderId="0" xfId="1" applyNumberFormat="1" applyFont="1" applyBorder="1"/>
    <xf numFmtId="0" fontId="16" fillId="0" borderId="0" xfId="0" applyFont="1" applyAlignment="1">
      <alignment wrapText="1"/>
    </xf>
    <xf numFmtId="0" fontId="14" fillId="0" borderId="0" xfId="0" applyFont="1"/>
    <xf numFmtId="0" fontId="14" fillId="0" borderId="0" xfId="0" applyFont="1" applyAlignment="1">
      <alignment wrapText="1"/>
    </xf>
    <xf numFmtId="0" fontId="0" fillId="0" borderId="4" xfId="0" applyBorder="1"/>
    <xf numFmtId="0" fontId="0" fillId="0" borderId="1" xfId="0" applyBorder="1"/>
    <xf numFmtId="0" fontId="0" fillId="0" borderId="3" xfId="0" applyBorder="1"/>
    <xf numFmtId="0" fontId="0" fillId="16" borderId="0" xfId="0" applyFill="1" applyAlignment="1">
      <alignment wrapText="1"/>
    </xf>
    <xf numFmtId="0" fontId="17" fillId="16" borderId="0" xfId="0" applyFont="1" applyFill="1" applyAlignment="1">
      <alignment wrapText="1"/>
    </xf>
    <xf numFmtId="0" fontId="0" fillId="17" borderId="0" xfId="0" applyFill="1" applyAlignment="1">
      <alignment wrapText="1"/>
    </xf>
    <xf numFmtId="0" fontId="16" fillId="4" borderId="0" xfId="0" applyFont="1" applyFill="1"/>
    <xf numFmtId="10" fontId="0" fillId="4" borderId="0" xfId="0" applyNumberFormat="1" applyFill="1"/>
    <xf numFmtId="0" fontId="1" fillId="17" borderId="0" xfId="0" applyFont="1" applyFill="1" applyAlignment="1">
      <alignment wrapText="1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2" fillId="4" borderId="0" xfId="0" applyFont="1" applyFill="1" applyAlignment="1">
      <alignment horizontal="right"/>
    </xf>
    <xf numFmtId="9" fontId="0" fillId="4" borderId="0" xfId="0" applyNumberFormat="1" applyFill="1" applyAlignment="1">
      <alignment horizontal="center" vertical="center"/>
    </xf>
    <xf numFmtId="1" fontId="0" fillId="4" borderId="0" xfId="0" applyNumberFormat="1" applyFill="1"/>
    <xf numFmtId="0" fontId="0" fillId="4" borderId="0" xfId="0" applyFill="1" applyAlignment="1">
      <alignment horizontal="center"/>
    </xf>
    <xf numFmtId="44" fontId="0" fillId="0" borderId="0" xfId="0" applyNumberFormat="1"/>
    <xf numFmtId="0" fontId="0" fillId="4" borderId="0" xfId="0" applyFill="1" applyAlignment="1"/>
    <xf numFmtId="9" fontId="6" fillId="4" borderId="0" xfId="0" applyNumberFormat="1" applyFont="1" applyFill="1"/>
    <xf numFmtId="44" fontId="0" fillId="4" borderId="0" xfId="2" applyFont="1" applyFill="1" applyAlignment="1"/>
    <xf numFmtId="0" fontId="0" fillId="4" borderId="0" xfId="0" applyFill="1" applyAlignment="1">
      <alignment horizontal="left"/>
    </xf>
    <xf numFmtId="0" fontId="0" fillId="8" borderId="0" xfId="0" applyFill="1" applyAlignment="1">
      <alignment horizontal="center" vertical="center"/>
    </xf>
    <xf numFmtId="2" fontId="1" fillId="11" borderId="0" xfId="0" applyNumberFormat="1" applyFont="1" applyFill="1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" fillId="16" borderId="0" xfId="0" applyFont="1" applyFill="1" applyAlignment="1">
      <alignment horizontal="center"/>
    </xf>
    <xf numFmtId="2" fontId="13" fillId="13" borderId="0" xfId="0" applyNumberFormat="1" applyFont="1" applyFill="1"/>
    <xf numFmtId="9" fontId="0" fillId="9" borderId="0" xfId="1" applyFont="1" applyFill="1"/>
    <xf numFmtId="44" fontId="0" fillId="9" borderId="0" xfId="0" applyNumberFormat="1" applyFill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left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3" fillId="13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left" wrapText="1"/>
    </xf>
    <xf numFmtId="0" fontId="18" fillId="3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0" fillId="4" borderId="0" xfId="0" applyFill="1" applyAlignment="1">
      <alignment horizontal="left"/>
    </xf>
  </cellXfs>
  <cellStyles count="3">
    <cellStyle name="Moneda" xfId="2" builtinId="4"/>
    <cellStyle name="Normal" xfId="0" builtinId="0"/>
    <cellStyle name="Porcentaje" xfId="1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$&quot;\ * #,##0_-;\-&quot;$&quot;\ * #,##0_-;_-&quot;$&quot;\ * &quot;-&quot;??_-;_-@_-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Irradiación!$L$3</c:f>
              <c:strCache>
                <c:ptCount val="1"/>
                <c:pt idx="0">
                  <c:v>2015</c:v>
                </c:pt>
              </c:strCache>
            </c:strRef>
          </c:tx>
          <c:spPr>
            <a:ln w="19050" cap="rnd">
              <a:solidFill>
                <a:schemeClr val="accent4">
                  <a:shade val="5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53000"/>
                </a:schemeClr>
              </a:solidFill>
              <a:ln w="9525">
                <a:solidFill>
                  <a:schemeClr val="accent4">
                    <a:shade val="53000"/>
                  </a:schemeClr>
                </a:solidFill>
              </a:ln>
              <a:effectLst/>
            </c:spPr>
          </c:marker>
          <c:xVal>
            <c:strRef>
              <c:f>Irradiación!$K$4:$K$15</c:f>
              <c:strCache>
                <c:ptCount val="12"/>
                <c:pt idx="0">
                  <c:v>Enero 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xVal>
          <c:yVal>
            <c:numRef>
              <c:f>Irradiación!$L$4:$L$15</c:f>
              <c:numCache>
                <c:formatCode>General</c:formatCode>
                <c:ptCount val="12"/>
                <c:pt idx="0">
                  <c:v>4.8503448275862056</c:v>
                </c:pt>
                <c:pt idx="1">
                  <c:v>4.4115384615384619</c:v>
                </c:pt>
                <c:pt idx="2">
                  <c:v>4.4919999999999991</c:v>
                </c:pt>
                <c:pt idx="3">
                  <c:v>4.7249999999999996</c:v>
                </c:pt>
                <c:pt idx="4">
                  <c:v>5.0824137931034477</c:v>
                </c:pt>
                <c:pt idx="5">
                  <c:v>4.8299999999999992</c:v>
                </c:pt>
                <c:pt idx="6">
                  <c:v>4.9755172413793094</c:v>
                </c:pt>
                <c:pt idx="7">
                  <c:v>5.0358620689655167</c:v>
                </c:pt>
                <c:pt idx="8">
                  <c:v>5.055357142857142</c:v>
                </c:pt>
                <c:pt idx="9">
                  <c:v>4.7055172413793107</c:v>
                </c:pt>
                <c:pt idx="10">
                  <c:v>4.1760714285714284</c:v>
                </c:pt>
                <c:pt idx="11">
                  <c:v>4.7900000000000009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6-47C4-8D48-BD1812068691}"/>
            </c:ext>
          </c:extLst>
        </c:ser>
        <c:ser>
          <c:idx val="1"/>
          <c:order val="1"/>
          <c:tx>
            <c:strRef>
              <c:f>Irradiación!$M$3</c:f>
              <c:strCache>
                <c:ptCount val="1"/>
                <c:pt idx="0">
                  <c:v>2016</c:v>
                </c:pt>
              </c:strCache>
            </c:strRef>
          </c:tx>
          <c:spPr>
            <a:ln w="19050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yVal>
            <c:numRef>
              <c:f>Irradiación!$M$4:$M$15</c:f>
              <c:numCache>
                <c:formatCode>General</c:formatCode>
                <c:ptCount val="12"/>
                <c:pt idx="0">
                  <c:v>4.9162068965517243</c:v>
                </c:pt>
                <c:pt idx="1">
                  <c:v>4.6682142857142859</c:v>
                </c:pt>
                <c:pt idx="2">
                  <c:v>4.830344827586206</c:v>
                </c:pt>
                <c:pt idx="3">
                  <c:v>4.2485714285714291</c:v>
                </c:pt>
                <c:pt idx="4">
                  <c:v>4.386206896551724</c:v>
                </c:pt>
                <c:pt idx="5">
                  <c:v>5.0346428571428552</c:v>
                </c:pt>
                <c:pt idx="6">
                  <c:v>4.9875862068965526</c:v>
                </c:pt>
                <c:pt idx="7">
                  <c:v>5.2862068965517235</c:v>
                </c:pt>
                <c:pt idx="8">
                  <c:v>4.8953571428571427</c:v>
                </c:pt>
                <c:pt idx="9">
                  <c:v>4.5168965517241375</c:v>
                </c:pt>
                <c:pt idx="10">
                  <c:v>4.1800000000000006</c:v>
                </c:pt>
                <c:pt idx="11">
                  <c:v>4.1727586206896552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48-438F-99A2-0ADD1F9D0F32}"/>
            </c:ext>
          </c:extLst>
        </c:ser>
        <c:ser>
          <c:idx val="2"/>
          <c:order val="2"/>
          <c:tx>
            <c:strRef>
              <c:f>Irradiación!$N$3</c:f>
              <c:strCache>
                <c:ptCount val="1"/>
                <c:pt idx="0">
                  <c:v>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Irradiación!$N$4:$N$15</c:f>
              <c:numCache>
                <c:formatCode>General</c:formatCode>
                <c:ptCount val="12"/>
                <c:pt idx="0">
                  <c:v>4.3313333333333341</c:v>
                </c:pt>
                <c:pt idx="1">
                  <c:v>5.2646153846153831</c:v>
                </c:pt>
                <c:pt idx="2">
                  <c:v>3.8372413793103459</c:v>
                </c:pt>
                <c:pt idx="3">
                  <c:v>4.6514285714285704</c:v>
                </c:pt>
                <c:pt idx="4">
                  <c:v>4.511379310344827</c:v>
                </c:pt>
                <c:pt idx="5">
                  <c:v>4.6107142857142858</c:v>
                </c:pt>
                <c:pt idx="6">
                  <c:v>5.1713793103448262</c:v>
                </c:pt>
                <c:pt idx="7">
                  <c:v>5.3565517241379288</c:v>
                </c:pt>
                <c:pt idx="8">
                  <c:v>4.802142857142857</c:v>
                </c:pt>
                <c:pt idx="9">
                  <c:v>4.1610344827586214</c:v>
                </c:pt>
                <c:pt idx="10">
                  <c:v>4.3593103448275858</c:v>
                </c:pt>
                <c:pt idx="11">
                  <c:v>4.5203448275862064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48-438F-99A2-0ADD1F9D0F32}"/>
            </c:ext>
          </c:extLst>
        </c:ser>
        <c:ser>
          <c:idx val="3"/>
          <c:order val="3"/>
          <c:tx>
            <c:strRef>
              <c:f>Irradiación!$O$3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yVal>
            <c:numRef>
              <c:f>Irradiación!$O$4:$O$15</c:f>
              <c:numCache>
                <c:formatCode>General</c:formatCode>
                <c:ptCount val="12"/>
                <c:pt idx="0">
                  <c:v>4.5313793103448283</c:v>
                </c:pt>
                <c:pt idx="1">
                  <c:v>4.4639999999999995</c:v>
                </c:pt>
                <c:pt idx="2">
                  <c:v>4.5396551724137932</c:v>
                </c:pt>
                <c:pt idx="3">
                  <c:v>4.2553571428571422</c:v>
                </c:pt>
                <c:pt idx="4">
                  <c:v>4.4799999999999995</c:v>
                </c:pt>
                <c:pt idx="5">
                  <c:v>4.8185714285714285</c:v>
                </c:pt>
                <c:pt idx="6">
                  <c:v>5.0051724137931028</c:v>
                </c:pt>
                <c:pt idx="7">
                  <c:v>5.5335714285714293</c:v>
                </c:pt>
                <c:pt idx="8">
                  <c:v>4.9396551724137918</c:v>
                </c:pt>
                <c:pt idx="9">
                  <c:v>4.5699999999999994</c:v>
                </c:pt>
                <c:pt idx="10">
                  <c:v>4.2081481481481484</c:v>
                </c:pt>
                <c:pt idx="11">
                  <c:v>4.8586206896551722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48-438F-99A2-0ADD1F9D0F32}"/>
            </c:ext>
          </c:extLst>
        </c:ser>
        <c:ser>
          <c:idx val="4"/>
          <c:order val="4"/>
          <c:tx>
            <c:strRef>
              <c:f>Irradiación!$P$3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4">
                  <a:tint val="5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54000"/>
                </a:schemeClr>
              </a:solidFill>
              <a:ln w="9525">
                <a:solidFill>
                  <a:schemeClr val="accent4">
                    <a:tint val="54000"/>
                  </a:schemeClr>
                </a:solidFill>
              </a:ln>
              <a:effectLst/>
            </c:spPr>
          </c:marker>
          <c:yVal>
            <c:numRef>
              <c:f>Irradiación!$P$4:$P$15</c:f>
              <c:numCache>
                <c:formatCode>General</c:formatCode>
                <c:ptCount val="12"/>
                <c:pt idx="0">
                  <c:v>4.7341379310344811</c:v>
                </c:pt>
                <c:pt idx="1">
                  <c:v>4.5984615384615388</c:v>
                </c:pt>
                <c:pt idx="2">
                  <c:v>4.2799999999999994</c:v>
                </c:pt>
                <c:pt idx="3">
                  <c:v>4.4864285714285712</c:v>
                </c:pt>
                <c:pt idx="4">
                  <c:v>4.3755172413793106</c:v>
                </c:pt>
                <c:pt idx="5">
                  <c:v>4.7748275862068974</c:v>
                </c:pt>
                <c:pt idx="6">
                  <c:v>5.3465517241379317</c:v>
                </c:pt>
                <c:pt idx="7">
                  <c:v>5.572413793103447</c:v>
                </c:pt>
                <c:pt idx="8">
                  <c:v>4.820384615384615</c:v>
                </c:pt>
                <c:pt idx="9">
                  <c:v>4.8600000000000003</c:v>
                </c:pt>
                <c:pt idx="10">
                  <c:v>4.3660714285714288</c:v>
                </c:pt>
                <c:pt idx="11">
                  <c:v>4.3786206896551718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48-438F-99A2-0ADD1F9D0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501535"/>
        <c:axId val="1088077183"/>
      </c:scatterChart>
      <c:valAx>
        <c:axId val="659501535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US"/>
                  <a:t>Mes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s-CO"/>
          </a:p>
        </c:txPr>
        <c:crossAx val="1088077183"/>
        <c:crosses val="autoZero"/>
        <c:crossBetween val="midCat"/>
      </c:valAx>
      <c:valAx>
        <c:axId val="1088077183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US"/>
                  <a:t>Irradiación promedio (kWh/m2)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s-CO"/>
          </a:p>
        </c:txPr>
        <c:crossAx val="659501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Arial Nova Light" panose="020B03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B$7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checked="Checked" fmlaLink="$B$8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D$46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B$7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CheckBox" checked="Checked" fmlaLink="$B$8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fmlaLink="$E$37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I$61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485775</xdr:colOff>
      <xdr:row>21</xdr:row>
      <xdr:rowOff>4761</xdr:rowOff>
    </xdr:from>
    <xdr:to>
      <xdr:col>28</xdr:col>
      <xdr:colOff>228600</xdr:colOff>
      <xdr:row>37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9525</xdr:rowOff>
        </xdr:from>
        <xdr:to>
          <xdr:col>1</xdr:col>
          <xdr:colOff>962025</xdr:colOff>
          <xdr:row>5</xdr:row>
          <xdr:rowOff>76200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de instalación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3</xdr:row>
          <xdr:rowOff>9525</xdr:rowOff>
        </xdr:from>
        <xdr:to>
          <xdr:col>1</xdr:col>
          <xdr:colOff>733425</xdr:colOff>
          <xdr:row>4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Off-Grid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4</xdr:row>
          <xdr:rowOff>9525</xdr:rowOff>
        </xdr:from>
        <xdr:to>
          <xdr:col>1</xdr:col>
          <xdr:colOff>762000</xdr:colOff>
          <xdr:row>5</xdr:row>
          <xdr:rowOff>38100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On-Grid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5</xdr:row>
          <xdr:rowOff>95250</xdr:rowOff>
        </xdr:from>
        <xdr:to>
          <xdr:col>2</xdr:col>
          <xdr:colOff>323850</xdr:colOff>
          <xdr:row>6</xdr:row>
          <xdr:rowOff>133350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Respaldo de baterías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44</xdr:row>
          <xdr:rowOff>152400</xdr:rowOff>
        </xdr:from>
        <xdr:to>
          <xdr:col>3</xdr:col>
          <xdr:colOff>9525</xdr:colOff>
          <xdr:row>46</xdr:row>
          <xdr:rowOff>133350</xdr:rowOff>
        </xdr:to>
        <xdr:sp macro="" textlink="">
          <xdr:nvSpPr>
            <xdr:cNvPr id="1075" name="Group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66675</xdr:rowOff>
        </xdr:from>
        <xdr:to>
          <xdr:col>2</xdr:col>
          <xdr:colOff>600075</xdr:colOff>
          <xdr:row>46</xdr:row>
          <xdr:rowOff>95250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kWp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933450</xdr:colOff>
          <xdr:row>45</xdr:row>
          <xdr:rowOff>66675</xdr:rowOff>
        </xdr:from>
        <xdr:to>
          <xdr:col>2</xdr:col>
          <xdr:colOff>1866900</xdr:colOff>
          <xdr:row>46</xdr:row>
          <xdr:rowOff>95250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Wp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590549</xdr:colOff>
      <xdr:row>89</xdr:row>
      <xdr:rowOff>9524</xdr:rowOff>
    </xdr:from>
    <xdr:to>
      <xdr:col>26</xdr:col>
      <xdr:colOff>114302</xdr:colOff>
      <xdr:row>90</xdr:row>
      <xdr:rowOff>33337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15332869" y="16261554"/>
          <a:ext cx="214313" cy="1733553"/>
        </a:xfrm>
        <a:prstGeom prst="leftBrace">
          <a:avLst>
            <a:gd name="adj1" fmla="val 122569"/>
            <a:gd name="adj2" fmla="val 48356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114300</xdr:colOff>
      <xdr:row>103</xdr:row>
      <xdr:rowOff>123825</xdr:rowOff>
    </xdr:from>
    <xdr:to>
      <xdr:col>12</xdr:col>
      <xdr:colOff>342900</xdr:colOff>
      <xdr:row>111</xdr:row>
      <xdr:rowOff>114300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5403" y="20336532"/>
          <a:ext cx="228600" cy="1514475"/>
        </a:xfrm>
        <a:prstGeom prst="rightBrace">
          <a:avLst>
            <a:gd name="adj1" fmla="val 165625"/>
            <a:gd name="adj2" fmla="val 4826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2</xdr:row>
      <xdr:rowOff>142875</xdr:rowOff>
    </xdr:from>
    <xdr:to>
      <xdr:col>19</xdr:col>
      <xdr:colOff>86593</xdr:colOff>
      <xdr:row>25</xdr:row>
      <xdr:rowOff>115078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523875"/>
          <a:ext cx="6220693" cy="55729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9525</xdr:rowOff>
        </xdr:from>
        <xdr:to>
          <xdr:col>1</xdr:col>
          <xdr:colOff>962025</xdr:colOff>
          <xdr:row>5</xdr:row>
          <xdr:rowOff>85725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de instalación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3</xdr:row>
          <xdr:rowOff>9525</xdr:rowOff>
        </xdr:from>
        <xdr:to>
          <xdr:col>1</xdr:col>
          <xdr:colOff>733425</xdr:colOff>
          <xdr:row>4</xdr:row>
          <xdr:rowOff>9525</xdr:rowOff>
        </xdr:to>
        <xdr:sp macro="" textlink="">
          <xdr:nvSpPr>
            <xdr:cNvPr id="13314" name="Option 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Off-Grid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4</xdr:row>
          <xdr:rowOff>9525</xdr:rowOff>
        </xdr:from>
        <xdr:to>
          <xdr:col>1</xdr:col>
          <xdr:colOff>762000</xdr:colOff>
          <xdr:row>5</xdr:row>
          <xdr:rowOff>38100</xdr:rowOff>
        </xdr:to>
        <xdr:sp macro="" textlink="">
          <xdr:nvSpPr>
            <xdr:cNvPr id="13315" name="Option 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On-Grid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5</xdr:row>
          <xdr:rowOff>95250</xdr:rowOff>
        </xdr:from>
        <xdr:to>
          <xdr:col>1</xdr:col>
          <xdr:colOff>1295400</xdr:colOff>
          <xdr:row>6</xdr:row>
          <xdr:rowOff>133350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Respaldo de baterías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35</xdr:row>
          <xdr:rowOff>152400</xdr:rowOff>
        </xdr:from>
        <xdr:to>
          <xdr:col>2</xdr:col>
          <xdr:colOff>1295400</xdr:colOff>
          <xdr:row>37</xdr:row>
          <xdr:rowOff>133350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36</xdr:row>
          <xdr:rowOff>95250</xdr:rowOff>
        </xdr:from>
        <xdr:to>
          <xdr:col>1</xdr:col>
          <xdr:colOff>1438275</xdr:colOff>
          <xdr:row>37</xdr:row>
          <xdr:rowOff>123825</xdr:rowOff>
        </xdr:to>
        <xdr:sp macro="" textlink="">
          <xdr:nvSpPr>
            <xdr:cNvPr id="13333" name="Option 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kWp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36</xdr:row>
          <xdr:rowOff>76200</xdr:rowOff>
        </xdr:from>
        <xdr:to>
          <xdr:col>2</xdr:col>
          <xdr:colOff>1038225</xdr:colOff>
          <xdr:row>37</xdr:row>
          <xdr:rowOff>123825</xdr:rowOff>
        </xdr:to>
        <xdr:sp macro="" textlink="">
          <xdr:nvSpPr>
            <xdr:cNvPr id="13334" name="Option 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58</xdr:row>
          <xdr:rowOff>257175</xdr:rowOff>
        </xdr:from>
        <xdr:to>
          <xdr:col>9</xdr:col>
          <xdr:colOff>9525</xdr:colOff>
          <xdr:row>60</xdr:row>
          <xdr:rowOff>371475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de conductor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59</xdr:row>
          <xdr:rowOff>180975</xdr:rowOff>
        </xdr:from>
        <xdr:to>
          <xdr:col>7</xdr:col>
          <xdr:colOff>1409700</xdr:colOff>
          <xdr:row>60</xdr:row>
          <xdr:rowOff>200025</xdr:rowOff>
        </xdr:to>
        <xdr:sp macro="" textlink="">
          <xdr:nvSpPr>
            <xdr:cNvPr id="13339" name="Option 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Extensión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1476375</xdr:colOff>
          <xdr:row>59</xdr:row>
          <xdr:rowOff>142875</xdr:rowOff>
        </xdr:from>
        <xdr:to>
          <xdr:col>8</xdr:col>
          <xdr:colOff>1009650</xdr:colOff>
          <xdr:row>60</xdr:row>
          <xdr:rowOff>238125</xdr:rowOff>
        </xdr:to>
        <xdr:sp macro="" textlink="">
          <xdr:nvSpPr>
            <xdr:cNvPr id="13340" name="Option 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Conductor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16</xdr:col>
      <xdr:colOff>124693</xdr:colOff>
      <xdr:row>30</xdr:row>
      <xdr:rowOff>48403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2475" y="190500"/>
          <a:ext cx="6220693" cy="557290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1" unboundColumnsRight="2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POWER_Regional_Daily_20150101_20190305_c11b3312" displayName="POWER_Regional_Daily_20150101_20190305_c11b3312" ref="A1:J1841" tableType="queryTable" totalsRowShown="0">
  <autoFilter ref="A1:J1841"/>
  <tableColumns count="10">
    <tableColumn id="1" uniqueName="1" name="Column1" queryTableFieldId="1" dataDxfId="13"/>
    <tableColumn id="2" uniqueName="2" name="Column2" queryTableFieldId="2" dataDxfId="12"/>
    <tableColumn id="3" uniqueName="3" name="Column3" queryTableFieldId="3" dataDxfId="11"/>
    <tableColumn id="4" uniqueName="4" name="Column4" queryTableFieldId="4" dataDxfId="10"/>
    <tableColumn id="5" uniqueName="5" name="Column5" queryTableFieldId="5" dataDxfId="9"/>
    <tableColumn id="6" uniqueName="6" name="Column6" queryTableFieldId="6" dataDxfId="8"/>
    <tableColumn id="7" uniqueName="7" name="Column7" queryTableFieldId="7" dataDxfId="7"/>
    <tableColumn id="8" uniqueName="8" name="Column8" queryTableFieldId="8"/>
    <tableColumn id="9" uniqueName="9" name="Column9" queryTableFieldId="9" dataDxfId="6">
      <calculatedColumnFormula>+POWER_Regional_Daily_20150101_20190305_c11b3312[[#This Row],[Column8]]/100</calculatedColumnFormula>
    </tableColumn>
    <tableColumn id="10" uniqueName="10" name="Column10" queryTableFieldId="10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K23" totalsRowShown="0">
  <autoFilter ref="A1:K23"/>
  <sortState ref="A2:G22">
    <sortCondition ref="E1:E22"/>
  </sortState>
  <tableColumns count="11">
    <tableColumn id="1" name="Referencia"/>
    <tableColumn id="2" name="Capacidad (Ah)"/>
    <tableColumn id="3" name="Voltaje"/>
    <tableColumn id="4" name="Marca"/>
    <tableColumn id="5" name="tecnologia"/>
    <tableColumn id="6" name="Precio sin iva" dataDxfId="0"/>
    <tableColumn id="7" name="Proveedor"/>
    <tableColumn id="8" name="Largo"/>
    <tableColumn id="9" name="Ancho"/>
    <tableColumn id="10" name="Alto"/>
    <tableColumn id="11" name="PES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4:F15"/>
  <sheetViews>
    <sheetView workbookViewId="0">
      <selection activeCell="E6" sqref="E6"/>
    </sheetView>
  </sheetViews>
  <sheetFormatPr baseColWidth="10" defaultColWidth="9.140625" defaultRowHeight="15" x14ac:dyDescent="0.25"/>
  <cols>
    <col min="4" max="4" width="12" customWidth="1"/>
    <col min="5" max="5" width="16.7109375" bestFit="1" customWidth="1"/>
    <col min="6" max="6" width="11.7109375" customWidth="1"/>
  </cols>
  <sheetData>
    <row r="4" spans="3:6" x14ac:dyDescent="0.25">
      <c r="E4" t="s">
        <v>398</v>
      </c>
      <c r="F4" t="s">
        <v>399</v>
      </c>
    </row>
    <row r="5" spans="3:6" x14ac:dyDescent="0.25">
      <c r="C5" s="120" t="s">
        <v>400</v>
      </c>
      <c r="D5" t="s">
        <v>396</v>
      </c>
      <c r="E5" s="29" t="e">
        <f>#REF!</f>
        <v>#REF!</v>
      </c>
    </row>
    <row r="6" spans="3:6" x14ac:dyDescent="0.25">
      <c r="C6" s="120"/>
      <c r="D6" t="s">
        <v>397</v>
      </c>
      <c r="E6" s="29" t="e">
        <f>#REF!</f>
        <v>#REF!</v>
      </c>
    </row>
    <row r="9" spans="3:6" x14ac:dyDescent="0.25">
      <c r="C9" s="121" t="s">
        <v>401</v>
      </c>
      <c r="D9" s="121"/>
      <c r="E9">
        <v>500</v>
      </c>
    </row>
    <row r="10" spans="3:6" ht="30" customHeight="1" x14ac:dyDescent="0.25">
      <c r="C10" s="122" t="s">
        <v>402</v>
      </c>
      <c r="D10" s="122"/>
      <c r="E10" s="52">
        <f>'Cálculo sistema'!K25*365</f>
        <v>4818</v>
      </c>
    </row>
    <row r="11" spans="3:6" x14ac:dyDescent="0.25">
      <c r="E11" s="29">
        <f>E9*E10</f>
        <v>2409000</v>
      </c>
    </row>
    <row r="14" spans="3:6" x14ac:dyDescent="0.25">
      <c r="E14" s="61" t="e">
        <f>E5/E11</f>
        <v>#REF!</v>
      </c>
    </row>
    <row r="15" spans="3:6" x14ac:dyDescent="0.25">
      <c r="E15" s="61" t="e">
        <f>E6/E11</f>
        <v>#REF!</v>
      </c>
    </row>
  </sheetData>
  <mergeCells count="3">
    <mergeCell ref="C5:C6"/>
    <mergeCell ref="C9:D9"/>
    <mergeCell ref="C10:D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41"/>
  <sheetViews>
    <sheetView topLeftCell="G22" workbookViewId="0">
      <selection activeCell="S39" sqref="S39"/>
    </sheetView>
  </sheetViews>
  <sheetFormatPr baseColWidth="10" defaultColWidth="9.140625" defaultRowHeight="15" x14ac:dyDescent="0.25"/>
  <cols>
    <col min="1" max="1" width="81.140625" bestFit="1" customWidth="1"/>
    <col min="2" max="6" width="11.140625" bestFit="1" customWidth="1"/>
    <col min="7" max="7" width="21.140625" bestFit="1" customWidth="1"/>
    <col min="8" max="8" width="11.140625" bestFit="1" customWidth="1"/>
  </cols>
  <sheetData>
    <row r="1" spans="1:21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272</v>
      </c>
      <c r="J1" t="s">
        <v>288</v>
      </c>
    </row>
    <row r="2" spans="1:21" x14ac:dyDescent="0.25">
      <c r="A2" s="34" t="s">
        <v>144</v>
      </c>
      <c r="B2" s="34" t="s">
        <v>145</v>
      </c>
      <c r="C2" s="34" t="s">
        <v>145</v>
      </c>
      <c r="D2" s="34" t="s">
        <v>145</v>
      </c>
      <c r="E2" s="34" t="s">
        <v>145</v>
      </c>
      <c r="F2" s="34" t="s">
        <v>145</v>
      </c>
      <c r="G2" s="34" t="s">
        <v>145</v>
      </c>
      <c r="I2" s="34">
        <f>+POWER_Regional_Daily_20150101_20190305_c11b3312[[#This Row],[Column8]]/100</f>
        <v>0</v>
      </c>
      <c r="J2" s="34"/>
    </row>
    <row r="3" spans="1:21" x14ac:dyDescent="0.25">
      <c r="A3" s="34" t="s">
        <v>146</v>
      </c>
      <c r="B3" s="34" t="s">
        <v>145</v>
      </c>
      <c r="C3" s="34" t="s">
        <v>145</v>
      </c>
      <c r="D3" s="34" t="s">
        <v>145</v>
      </c>
      <c r="E3" s="34" t="s">
        <v>145</v>
      </c>
      <c r="F3" s="34" t="s">
        <v>145</v>
      </c>
      <c r="G3" s="34" t="s">
        <v>145</v>
      </c>
      <c r="I3" s="34">
        <f>+POWER_Regional_Daily_20150101_20190305_c11b3312[[#This Row],[Column8]]/100</f>
        <v>0</v>
      </c>
      <c r="J3" s="34"/>
      <c r="L3">
        <v>2015</v>
      </c>
      <c r="M3">
        <v>2016</v>
      </c>
      <c r="N3">
        <v>2017</v>
      </c>
      <c r="O3">
        <v>2018</v>
      </c>
      <c r="P3">
        <v>2019</v>
      </c>
      <c r="U3" t="s">
        <v>330</v>
      </c>
    </row>
    <row r="4" spans="1:21" x14ac:dyDescent="0.25">
      <c r="A4" s="34" t="s">
        <v>147</v>
      </c>
      <c r="B4" s="34" t="s">
        <v>145</v>
      </c>
      <c r="C4" s="34" t="s">
        <v>145</v>
      </c>
      <c r="D4" s="34" t="s">
        <v>145</v>
      </c>
      <c r="E4" s="34" t="s">
        <v>145</v>
      </c>
      <c r="F4" s="34" t="s">
        <v>145</v>
      </c>
      <c r="G4" s="34" t="s">
        <v>145</v>
      </c>
      <c r="I4" s="34">
        <f>+POWER_Regional_Daily_20150101_20190305_c11b3312[[#This Row],[Column8]]/100</f>
        <v>0</v>
      </c>
      <c r="J4" s="34">
        <v>1</v>
      </c>
      <c r="K4" t="s">
        <v>273</v>
      </c>
      <c r="L4">
        <f>+AVERAGEIFS($I$15:$I$1539,$C$15:$C$1539,L3,$D$15:$D$1539,$J$4,$I$15:$I$1539,"&gt;0")</f>
        <v>4.8503448275862056</v>
      </c>
      <c r="M4">
        <f>+AVERAGEIFS($I$15:$I$1539,$C$15:$C$1539,$M$3,$D$15:$D$1539,J4,$I$15:$I$1539,"&gt;0")</f>
        <v>4.9162068965517243</v>
      </c>
      <c r="N4">
        <f>+AVERAGEIFS($I$15:$I$1539,$C$15:$C$1539,$N$3,$D$15:$D$1539,J4,$I$15:$I$1539,"&gt;0")</f>
        <v>4.3313333333333341</v>
      </c>
      <c r="O4">
        <f>+AVERAGEIFS($I$15:$I$1539,$C$15:$C$1539,$O$3,$D$15:$D$1539,J4,$I$15:$I$1539,"&gt;0")</f>
        <v>4.5313793103448283</v>
      </c>
      <c r="P4">
        <f>+AVERAGEIFS($I$15:$I$1539,$C$15:$C$1539,$P$3,$D$15:$D$1539,J4,$I$15:$I$1539,"&gt;0")</f>
        <v>4.7341379310344811</v>
      </c>
      <c r="U4">
        <f t="shared" ref="U4:U15" si="0">MIN(L4:O4)</f>
        <v>4.3313333333333341</v>
      </c>
    </row>
    <row r="5" spans="1:21" x14ac:dyDescent="0.25">
      <c r="A5" s="34" t="s">
        <v>148</v>
      </c>
      <c r="B5" s="34" t="s">
        <v>145</v>
      </c>
      <c r="C5" s="34" t="s">
        <v>145</v>
      </c>
      <c r="D5" s="34" t="s">
        <v>145</v>
      </c>
      <c r="E5" s="34" t="s">
        <v>145</v>
      </c>
      <c r="F5" s="34" t="s">
        <v>145</v>
      </c>
      <c r="G5" s="34" t="s">
        <v>145</v>
      </c>
      <c r="I5" s="34">
        <f>+POWER_Regional_Daily_20150101_20190305_c11b3312[[#This Row],[Column8]]/100</f>
        <v>0</v>
      </c>
      <c r="J5" s="34">
        <v>2</v>
      </c>
      <c r="K5" t="s">
        <v>274</v>
      </c>
      <c r="L5">
        <f t="shared" ref="L5:L15" si="1">+AVERAGEIFS($I$15:$I$1539,$C$15:$C$1539,$L$3,$D$15:$D$1539,J5,$I$15:$I$1539,"&gt;0")</f>
        <v>4.4115384615384619</v>
      </c>
      <c r="M5">
        <f t="shared" ref="M5:M15" si="2">+AVERAGEIFS($I$15:$I$1539,$C$15:$C$1539,$M$3,$D$15:$D$1539,J5,$I$15:$I$1539,"&gt;0")</f>
        <v>4.6682142857142859</v>
      </c>
      <c r="N5">
        <f t="shared" ref="N5:N15" si="3">+AVERAGEIFS($I$15:$I$1539,$C$15:$C$1539,$N$3,$D$15:$D$1539,J5,$I$15:$I$1539,"&gt;0")</f>
        <v>5.2646153846153831</v>
      </c>
      <c r="O5">
        <f t="shared" ref="O5:O15" si="4">+AVERAGEIFS($I$15:$I$1539,$C$15:$C$1539,$O$3,$D$15:$D$1539,J5,$I$15:$I$1539,"&gt;0")</f>
        <v>4.4639999999999995</v>
      </c>
      <c r="P5">
        <f t="shared" ref="P5:P6" si="5">+AVERAGEIFS($I$15:$I$1539,$C$15:$C$1539,$P$3,$D$15:$D$1539,J5,$I$15:$I$1539,"&gt;0")</f>
        <v>4.5984615384615388</v>
      </c>
      <c r="U5">
        <f t="shared" si="0"/>
        <v>4.4115384615384619</v>
      </c>
    </row>
    <row r="6" spans="1:21" x14ac:dyDescent="0.25">
      <c r="A6" s="34" t="s">
        <v>149</v>
      </c>
      <c r="B6" s="34" t="s">
        <v>145</v>
      </c>
      <c r="C6" s="34" t="s">
        <v>145</v>
      </c>
      <c r="D6" s="34" t="s">
        <v>145</v>
      </c>
      <c r="E6" s="34" t="s">
        <v>145</v>
      </c>
      <c r="F6" s="34" t="s">
        <v>145</v>
      </c>
      <c r="G6" s="34" t="s">
        <v>145</v>
      </c>
      <c r="I6" s="34">
        <f>+POWER_Regional_Daily_20150101_20190305_c11b3312[[#This Row],[Column8]]/100</f>
        <v>0</v>
      </c>
      <c r="J6" s="34">
        <v>3</v>
      </c>
      <c r="K6" t="s">
        <v>275</v>
      </c>
      <c r="L6">
        <f t="shared" si="1"/>
        <v>4.4919999999999991</v>
      </c>
      <c r="M6">
        <f t="shared" si="2"/>
        <v>4.830344827586206</v>
      </c>
      <c r="N6">
        <f t="shared" si="3"/>
        <v>3.8372413793103459</v>
      </c>
      <c r="O6">
        <f t="shared" si="4"/>
        <v>4.5396551724137932</v>
      </c>
      <c r="P6">
        <f t="shared" si="5"/>
        <v>4.2799999999999994</v>
      </c>
      <c r="U6">
        <f t="shared" si="0"/>
        <v>3.8372413793103459</v>
      </c>
    </row>
    <row r="7" spans="1:21" x14ac:dyDescent="0.25">
      <c r="A7" s="34" t="s">
        <v>150</v>
      </c>
      <c r="B7" s="34" t="s">
        <v>145</v>
      </c>
      <c r="C7" s="34" t="s">
        <v>145</v>
      </c>
      <c r="D7" s="34" t="s">
        <v>145</v>
      </c>
      <c r="E7" s="34" t="s">
        <v>145</v>
      </c>
      <c r="F7" s="34" t="s">
        <v>145</v>
      </c>
      <c r="G7" s="34" t="s">
        <v>145</v>
      </c>
      <c r="I7" s="34">
        <f>+POWER_Regional_Daily_20150101_20190305_c11b3312[[#This Row],[Column8]]/100</f>
        <v>0</v>
      </c>
      <c r="J7" s="34">
        <v>4</v>
      </c>
      <c r="K7" t="s">
        <v>276</v>
      </c>
      <c r="L7">
        <f t="shared" si="1"/>
        <v>4.7249999999999996</v>
      </c>
      <c r="M7">
        <f t="shared" si="2"/>
        <v>4.2485714285714291</v>
      </c>
      <c r="N7">
        <f t="shared" si="3"/>
        <v>4.6514285714285704</v>
      </c>
      <c r="O7">
        <f t="shared" si="4"/>
        <v>4.2553571428571422</v>
      </c>
      <c r="P7">
        <f>+AVERAGEIFS($I$15:$I$1841,$C$15:$C$1841,$P$3,$D$15:$D$1841,J7,$I$15:$I$1841,"&gt;0")</f>
        <v>4.4864285714285712</v>
      </c>
      <c r="U7">
        <f t="shared" si="0"/>
        <v>4.2485714285714291</v>
      </c>
    </row>
    <row r="8" spans="1:21" x14ac:dyDescent="0.25">
      <c r="A8" s="34" t="s">
        <v>151</v>
      </c>
      <c r="B8" s="34" t="s">
        <v>145</v>
      </c>
      <c r="C8" s="34" t="s">
        <v>145</v>
      </c>
      <c r="D8" s="34" t="s">
        <v>145</v>
      </c>
      <c r="E8" s="34" t="s">
        <v>145</v>
      </c>
      <c r="F8" s="34" t="s">
        <v>145</v>
      </c>
      <c r="G8" s="34" t="s">
        <v>145</v>
      </c>
      <c r="I8" s="34">
        <f>+POWER_Regional_Daily_20150101_20190305_c11b3312[[#This Row],[Column8]]/100</f>
        <v>0</v>
      </c>
      <c r="J8" s="34">
        <v>5</v>
      </c>
      <c r="K8" t="s">
        <v>277</v>
      </c>
      <c r="L8">
        <f t="shared" si="1"/>
        <v>5.0824137931034477</v>
      </c>
      <c r="M8">
        <f t="shared" si="2"/>
        <v>4.386206896551724</v>
      </c>
      <c r="N8">
        <f t="shared" si="3"/>
        <v>4.511379310344827</v>
      </c>
      <c r="O8">
        <f t="shared" si="4"/>
        <v>4.4799999999999995</v>
      </c>
      <c r="P8">
        <f t="shared" ref="P8:P15" si="6">+AVERAGEIFS($I$15:$I$1841,$C$15:$C$1841,$P$3,$D$15:$D$1841,J8,$I$15:$I$1841,"&gt;0")</f>
        <v>4.3755172413793106</v>
      </c>
      <c r="U8">
        <f t="shared" si="0"/>
        <v>4.386206896551724</v>
      </c>
    </row>
    <row r="9" spans="1:21" x14ac:dyDescent="0.25">
      <c r="A9" s="34" t="s">
        <v>152</v>
      </c>
      <c r="B9" s="34" t="s">
        <v>145</v>
      </c>
      <c r="C9" s="34" t="s">
        <v>145</v>
      </c>
      <c r="D9" s="34" t="s">
        <v>145</v>
      </c>
      <c r="E9" s="34" t="s">
        <v>145</v>
      </c>
      <c r="F9" s="34" t="s">
        <v>145</v>
      </c>
      <c r="G9" s="34" t="s">
        <v>145</v>
      </c>
      <c r="I9" s="34">
        <f>+POWER_Regional_Daily_20150101_20190305_c11b3312[[#This Row],[Column8]]/100</f>
        <v>0</v>
      </c>
      <c r="J9" s="34">
        <v>6</v>
      </c>
      <c r="K9" t="s">
        <v>278</v>
      </c>
      <c r="L9">
        <f t="shared" si="1"/>
        <v>4.8299999999999992</v>
      </c>
      <c r="M9">
        <f t="shared" si="2"/>
        <v>5.0346428571428552</v>
      </c>
      <c r="N9">
        <f t="shared" si="3"/>
        <v>4.6107142857142858</v>
      </c>
      <c r="O9">
        <f t="shared" si="4"/>
        <v>4.8185714285714285</v>
      </c>
      <c r="P9">
        <f t="shared" si="6"/>
        <v>4.7748275862068974</v>
      </c>
      <c r="U9">
        <f t="shared" si="0"/>
        <v>4.6107142857142858</v>
      </c>
    </row>
    <row r="10" spans="1:21" x14ac:dyDescent="0.25">
      <c r="A10" s="34" t="s">
        <v>153</v>
      </c>
      <c r="B10" s="34" t="s">
        <v>145</v>
      </c>
      <c r="C10" s="34" t="s">
        <v>145</v>
      </c>
      <c r="D10" s="34" t="s">
        <v>145</v>
      </c>
      <c r="E10" s="34" t="s">
        <v>145</v>
      </c>
      <c r="F10" s="34" t="s">
        <v>145</v>
      </c>
      <c r="G10" s="34" t="s">
        <v>145</v>
      </c>
      <c r="I10" s="34">
        <f>+POWER_Regional_Daily_20150101_20190305_c11b3312[[#This Row],[Column8]]/100</f>
        <v>0</v>
      </c>
      <c r="J10" s="34">
        <v>7</v>
      </c>
      <c r="K10" t="s">
        <v>279</v>
      </c>
      <c r="L10">
        <f t="shared" si="1"/>
        <v>4.9755172413793094</v>
      </c>
      <c r="M10">
        <f t="shared" si="2"/>
        <v>4.9875862068965526</v>
      </c>
      <c r="N10">
        <f t="shared" si="3"/>
        <v>5.1713793103448262</v>
      </c>
      <c r="O10">
        <f t="shared" si="4"/>
        <v>5.0051724137931028</v>
      </c>
      <c r="P10">
        <f t="shared" si="6"/>
        <v>5.3465517241379317</v>
      </c>
      <c r="U10">
        <f t="shared" si="0"/>
        <v>4.9755172413793094</v>
      </c>
    </row>
    <row r="11" spans="1:21" x14ac:dyDescent="0.25">
      <c r="A11" s="34" t="s">
        <v>154</v>
      </c>
      <c r="B11" s="34" t="s">
        <v>145</v>
      </c>
      <c r="C11" s="34" t="s">
        <v>145</v>
      </c>
      <c r="D11" s="34" t="s">
        <v>145</v>
      </c>
      <c r="E11" s="34" t="s">
        <v>145</v>
      </c>
      <c r="F11" s="34" t="s">
        <v>145</v>
      </c>
      <c r="G11" s="34" t="s">
        <v>145</v>
      </c>
      <c r="I11" s="34">
        <f>+POWER_Regional_Daily_20150101_20190305_c11b3312[[#This Row],[Column8]]/100</f>
        <v>0</v>
      </c>
      <c r="J11" s="34">
        <v>8</v>
      </c>
      <c r="K11" t="s">
        <v>280</v>
      </c>
      <c r="L11">
        <f t="shared" si="1"/>
        <v>5.0358620689655167</v>
      </c>
      <c r="M11">
        <f t="shared" si="2"/>
        <v>5.2862068965517235</v>
      </c>
      <c r="N11">
        <f t="shared" si="3"/>
        <v>5.3565517241379288</v>
      </c>
      <c r="O11">
        <f t="shared" si="4"/>
        <v>5.5335714285714293</v>
      </c>
      <c r="P11">
        <f t="shared" si="6"/>
        <v>5.572413793103447</v>
      </c>
      <c r="U11">
        <f t="shared" si="0"/>
        <v>5.0358620689655167</v>
      </c>
    </row>
    <row r="12" spans="1:21" x14ac:dyDescent="0.25">
      <c r="A12" s="34" t="s">
        <v>155</v>
      </c>
      <c r="B12" s="34" t="s">
        <v>145</v>
      </c>
      <c r="C12" s="34" t="s">
        <v>145</v>
      </c>
      <c r="D12" s="34" t="s">
        <v>145</v>
      </c>
      <c r="E12" s="34" t="s">
        <v>145</v>
      </c>
      <c r="F12" s="34" t="s">
        <v>145</v>
      </c>
      <c r="G12" s="34" t="s">
        <v>145</v>
      </c>
      <c r="I12" s="34">
        <f>+POWER_Regional_Daily_20150101_20190305_c11b3312[[#This Row],[Column8]]/100</f>
        <v>0</v>
      </c>
      <c r="J12" s="34">
        <v>9</v>
      </c>
      <c r="K12" t="s">
        <v>281</v>
      </c>
      <c r="L12">
        <f t="shared" si="1"/>
        <v>5.055357142857142</v>
      </c>
      <c r="M12">
        <f t="shared" si="2"/>
        <v>4.8953571428571427</v>
      </c>
      <c r="N12">
        <f t="shared" si="3"/>
        <v>4.802142857142857</v>
      </c>
      <c r="O12">
        <f t="shared" si="4"/>
        <v>4.9396551724137918</v>
      </c>
      <c r="P12">
        <f t="shared" si="6"/>
        <v>4.820384615384615</v>
      </c>
      <c r="U12">
        <f t="shared" si="0"/>
        <v>4.802142857142857</v>
      </c>
    </row>
    <row r="13" spans="1:21" x14ac:dyDescent="0.25">
      <c r="A13" s="34" t="s">
        <v>156</v>
      </c>
      <c r="B13" s="34" t="s">
        <v>145</v>
      </c>
      <c r="C13" s="34" t="s">
        <v>145</v>
      </c>
      <c r="D13" s="34" t="s">
        <v>145</v>
      </c>
      <c r="E13" s="34" t="s">
        <v>145</v>
      </c>
      <c r="F13" s="34" t="s">
        <v>145</v>
      </c>
      <c r="G13" s="34" t="s">
        <v>145</v>
      </c>
      <c r="I13" s="34">
        <f>+POWER_Regional_Daily_20150101_20190305_c11b3312[[#This Row],[Column8]]/100</f>
        <v>0</v>
      </c>
      <c r="J13" s="34">
        <v>10</v>
      </c>
      <c r="K13" t="s">
        <v>282</v>
      </c>
      <c r="L13">
        <f t="shared" si="1"/>
        <v>4.7055172413793107</v>
      </c>
      <c r="M13">
        <f t="shared" si="2"/>
        <v>4.5168965517241375</v>
      </c>
      <c r="N13">
        <f t="shared" si="3"/>
        <v>4.1610344827586214</v>
      </c>
      <c r="O13">
        <f t="shared" si="4"/>
        <v>4.5699999999999994</v>
      </c>
      <c r="P13">
        <f t="shared" si="6"/>
        <v>4.8600000000000003</v>
      </c>
      <c r="U13">
        <f t="shared" si="0"/>
        <v>4.1610344827586214</v>
      </c>
    </row>
    <row r="14" spans="1:21" x14ac:dyDescent="0.25">
      <c r="A14" s="34" t="s">
        <v>157</v>
      </c>
      <c r="B14" s="34" t="s">
        <v>158</v>
      </c>
      <c r="C14" s="34" t="s">
        <v>159</v>
      </c>
      <c r="D14" s="34" t="s">
        <v>160</v>
      </c>
      <c r="E14" s="34" t="s">
        <v>161</v>
      </c>
      <c r="F14" s="34" t="s">
        <v>162</v>
      </c>
      <c r="G14" s="34" t="s">
        <v>163</v>
      </c>
      <c r="I14" s="34">
        <f>+POWER_Regional_Daily_20150101_20190305_c11b3312[[#This Row],[Column8]]/100</f>
        <v>0</v>
      </c>
      <c r="J14" s="34">
        <v>11</v>
      </c>
      <c r="K14" t="s">
        <v>283</v>
      </c>
      <c r="L14">
        <f t="shared" si="1"/>
        <v>4.1760714285714284</v>
      </c>
      <c r="M14">
        <f t="shared" si="2"/>
        <v>4.1800000000000006</v>
      </c>
      <c r="N14">
        <f t="shared" si="3"/>
        <v>4.3593103448275858</v>
      </c>
      <c r="O14">
        <f t="shared" si="4"/>
        <v>4.2081481481481484</v>
      </c>
      <c r="P14">
        <f t="shared" si="6"/>
        <v>4.3660714285714288</v>
      </c>
      <c r="U14">
        <f t="shared" si="0"/>
        <v>4.1760714285714284</v>
      </c>
    </row>
    <row r="15" spans="1:21" x14ac:dyDescent="0.25">
      <c r="A15" s="34" t="s">
        <v>164</v>
      </c>
      <c r="B15" s="34" t="s">
        <v>165</v>
      </c>
      <c r="C15" t="s">
        <v>166</v>
      </c>
      <c r="D15" t="s">
        <v>167</v>
      </c>
      <c r="E15" t="s">
        <v>167</v>
      </c>
      <c r="F15" t="s">
        <v>232</v>
      </c>
      <c r="G15" t="s">
        <v>169</v>
      </c>
      <c r="H15">
        <v>543</v>
      </c>
      <c r="I15" s="34">
        <f>+POWER_Regional_Daily_20150101_20190305_c11b3312[[#This Row],[Column8]]/100</f>
        <v>5.43</v>
      </c>
      <c r="J15" s="34">
        <v>12</v>
      </c>
      <c r="K15" t="s">
        <v>284</v>
      </c>
      <c r="L15">
        <f t="shared" si="1"/>
        <v>4.7900000000000009</v>
      </c>
      <c r="M15">
        <f t="shared" si="2"/>
        <v>4.1727586206896552</v>
      </c>
      <c r="N15">
        <f t="shared" si="3"/>
        <v>4.5203448275862064</v>
      </c>
      <c r="O15">
        <f t="shared" si="4"/>
        <v>4.8586206896551722</v>
      </c>
      <c r="P15">
        <f t="shared" si="6"/>
        <v>4.3786206896551718</v>
      </c>
      <c r="U15">
        <f t="shared" si="0"/>
        <v>4.1727586206896552</v>
      </c>
    </row>
    <row r="16" spans="1:21" x14ac:dyDescent="0.25">
      <c r="A16" s="34" t="s">
        <v>164</v>
      </c>
      <c r="B16" s="34" t="s">
        <v>165</v>
      </c>
      <c r="C16" t="s">
        <v>166</v>
      </c>
      <c r="D16" t="s">
        <v>167</v>
      </c>
      <c r="E16" t="s">
        <v>170</v>
      </c>
      <c r="F16" t="s">
        <v>176</v>
      </c>
      <c r="G16" t="s">
        <v>169</v>
      </c>
      <c r="H16">
        <v>608</v>
      </c>
      <c r="I16" s="34">
        <f>+POWER_Regional_Daily_20150101_20190305_c11b3312[[#This Row],[Column8]]/100</f>
        <v>6.08</v>
      </c>
      <c r="J16" s="34"/>
    </row>
    <row r="17" spans="1:16" x14ac:dyDescent="0.25">
      <c r="A17" s="34" t="s">
        <v>164</v>
      </c>
      <c r="B17" s="34" t="s">
        <v>165</v>
      </c>
      <c r="C17" t="s">
        <v>166</v>
      </c>
      <c r="D17" t="s">
        <v>167</v>
      </c>
      <c r="E17" t="s">
        <v>172</v>
      </c>
      <c r="F17" t="s">
        <v>173</v>
      </c>
      <c r="G17" t="s">
        <v>268</v>
      </c>
      <c r="H17">
        <v>654</v>
      </c>
      <c r="I17" s="34">
        <f>+POWER_Regional_Daily_20150101_20190305_c11b3312[[#This Row],[Column8]]/100</f>
        <v>6.54</v>
      </c>
      <c r="J17" s="34"/>
    </row>
    <row r="18" spans="1:16" x14ac:dyDescent="0.25">
      <c r="A18" s="34" t="s">
        <v>164</v>
      </c>
      <c r="B18" s="34" t="s">
        <v>165</v>
      </c>
      <c r="C18" t="s">
        <v>166</v>
      </c>
      <c r="D18" t="s">
        <v>167</v>
      </c>
      <c r="E18" t="s">
        <v>174</v>
      </c>
      <c r="F18" t="s">
        <v>189</v>
      </c>
      <c r="G18" t="s">
        <v>169</v>
      </c>
      <c r="H18">
        <v>554</v>
      </c>
      <c r="I18" s="34">
        <f>+POWER_Regional_Daily_20150101_20190305_c11b3312[[#This Row],[Column8]]/100</f>
        <v>5.54</v>
      </c>
      <c r="J18" s="34"/>
      <c r="L18">
        <v>2015</v>
      </c>
      <c r="M18">
        <v>2016</v>
      </c>
      <c r="N18">
        <v>2017</v>
      </c>
      <c r="O18">
        <v>2018</v>
      </c>
      <c r="P18">
        <v>2019</v>
      </c>
    </row>
    <row r="19" spans="1:16" x14ac:dyDescent="0.25">
      <c r="A19" s="34" t="s">
        <v>164</v>
      </c>
      <c r="B19" s="34" t="s">
        <v>165</v>
      </c>
      <c r="C19" t="s">
        <v>166</v>
      </c>
      <c r="D19" t="s">
        <v>167</v>
      </c>
      <c r="E19" t="s">
        <v>175</v>
      </c>
      <c r="F19" t="s">
        <v>250</v>
      </c>
      <c r="G19" t="s">
        <v>169</v>
      </c>
      <c r="H19">
        <v>598</v>
      </c>
      <c r="I19" s="34">
        <f>+POWER_Regional_Daily_20150101_20190305_c11b3312[[#This Row],[Column8]]/100</f>
        <v>5.98</v>
      </c>
      <c r="J19" s="34">
        <v>1</v>
      </c>
      <c r="K19" t="s">
        <v>273</v>
      </c>
      <c r="L19">
        <f>+_xlfn.MINIFS($I$15:$I$1539,$C$15:$C$1539,L18,$D$15:$D$1539,$J$4,$I$15:$I$1539,"&gt;0")</f>
        <v>3.16</v>
      </c>
      <c r="M19">
        <f t="shared" ref="M19:P19" si="7">+_xlfn.MINIFS($I$15:$I$1539,$C$15:$C$1539,M18,$D$15:$D$1539,$J$4,$I$15:$I$1539,"&gt;0")</f>
        <v>2.02</v>
      </c>
      <c r="N19">
        <f t="shared" si="7"/>
        <v>2.2200000000000002</v>
      </c>
      <c r="O19">
        <f t="shared" si="7"/>
        <v>1.96</v>
      </c>
      <c r="P19">
        <f t="shared" si="7"/>
        <v>2.58</v>
      </c>
    </row>
    <row r="20" spans="1:16" x14ac:dyDescent="0.25">
      <c r="A20" s="34" t="s">
        <v>164</v>
      </c>
      <c r="B20" s="34" t="s">
        <v>165</v>
      </c>
      <c r="C20" t="s">
        <v>166</v>
      </c>
      <c r="D20" t="s">
        <v>167</v>
      </c>
      <c r="E20" t="s">
        <v>177</v>
      </c>
      <c r="F20" t="s">
        <v>247</v>
      </c>
      <c r="G20" t="s">
        <v>298</v>
      </c>
      <c r="H20">
        <v>655</v>
      </c>
      <c r="I20" s="34">
        <f>+POWER_Regional_Daily_20150101_20190305_c11b3312[[#This Row],[Column8]]/100</f>
        <v>6.55</v>
      </c>
      <c r="J20" s="34">
        <v>2</v>
      </c>
      <c r="K20" t="s">
        <v>274</v>
      </c>
      <c r="L20">
        <f>+_xlfn.MINIFS($I$15:$I$1539,$C$15:$C$1539,L3,$D$15:$D$1539,$J$20,$I$15:$I$1539,"&gt;0")</f>
        <v>1.73</v>
      </c>
      <c r="M20">
        <f t="shared" ref="M20:P20" si="8">+_xlfn.MINIFS($I$15:$I$1539,$C$15:$C$1539,M3,$D$15:$D$1539,$J$20,$I$15:$I$1539,"&gt;0")</f>
        <v>1.34</v>
      </c>
      <c r="N20">
        <f t="shared" si="8"/>
        <v>2.77</v>
      </c>
      <c r="O20">
        <f t="shared" si="8"/>
        <v>2.94</v>
      </c>
      <c r="P20">
        <f t="shared" si="8"/>
        <v>2.4500000000000002</v>
      </c>
    </row>
    <row r="21" spans="1:16" x14ac:dyDescent="0.25">
      <c r="A21" s="34" t="s">
        <v>164</v>
      </c>
      <c r="B21" s="34" t="s">
        <v>165</v>
      </c>
      <c r="C21" t="s">
        <v>166</v>
      </c>
      <c r="D21" t="s">
        <v>167</v>
      </c>
      <c r="E21" t="s">
        <v>178</v>
      </c>
      <c r="F21" t="s">
        <v>251</v>
      </c>
      <c r="G21" t="s">
        <v>261</v>
      </c>
      <c r="H21">
        <v>660</v>
      </c>
      <c r="I21" s="34">
        <f>+POWER_Regional_Daily_20150101_20190305_c11b3312[[#This Row],[Column8]]/100</f>
        <v>6.6</v>
      </c>
      <c r="J21" s="34">
        <v>3</v>
      </c>
      <c r="K21" t="s">
        <v>275</v>
      </c>
      <c r="L21">
        <f>+_xlfn.MINIFS($I$15:$I$1539,$C$15:$C$1539,L3,$D$15:$D$1539,$J$21,$I$15:$I$1539,"&gt;0")</f>
        <v>1.49</v>
      </c>
      <c r="M21">
        <f t="shared" ref="M21:P21" si="9">+_xlfn.MINIFS($I$15:$I$1539,$C$15:$C$1539,M3,$D$15:$D$1539,$J$21,$I$15:$I$1539,"&gt;0")</f>
        <v>2.71</v>
      </c>
      <c r="N21">
        <f t="shared" si="9"/>
        <v>2.06</v>
      </c>
      <c r="O21">
        <f t="shared" si="9"/>
        <v>1.64</v>
      </c>
      <c r="P21">
        <f t="shared" si="9"/>
        <v>3.38</v>
      </c>
    </row>
    <row r="22" spans="1:16" x14ac:dyDescent="0.25">
      <c r="A22" s="34" t="s">
        <v>164</v>
      </c>
      <c r="B22" s="34" t="s">
        <v>165</v>
      </c>
      <c r="C22" t="s">
        <v>166</v>
      </c>
      <c r="D22" t="s">
        <v>167</v>
      </c>
      <c r="E22" t="s">
        <v>180</v>
      </c>
      <c r="F22" t="s">
        <v>222</v>
      </c>
      <c r="G22" t="s">
        <v>169</v>
      </c>
      <c r="H22">
        <v>497</v>
      </c>
      <c r="I22" s="34">
        <f>+POWER_Regional_Daily_20150101_20190305_c11b3312[[#This Row],[Column8]]/100</f>
        <v>4.97</v>
      </c>
      <c r="J22" s="34">
        <v>4</v>
      </c>
      <c r="K22" t="s">
        <v>276</v>
      </c>
      <c r="L22">
        <f>+_xlfn.MINIFS($I$15:$I$1539,$C$15:$C$1539,L3,$D$15:$D$1539,$J$22,$I$15:$I$1539,"&gt;0")</f>
        <v>2.58</v>
      </c>
      <c r="M22">
        <f t="shared" ref="M22:P22" si="10">+_xlfn.MINIFS($I$15:$I$1539,$C$15:$C$1539,M3,$D$15:$D$1539,$J$22,$I$15:$I$1539,"&gt;0")</f>
        <v>1.45</v>
      </c>
      <c r="N22">
        <f t="shared" si="10"/>
        <v>1.72</v>
      </c>
      <c r="O22">
        <f t="shared" si="10"/>
        <v>2.27</v>
      </c>
      <c r="P22">
        <f t="shared" si="10"/>
        <v>0</v>
      </c>
    </row>
    <row r="23" spans="1:16" x14ac:dyDescent="0.25">
      <c r="A23" s="34" t="s">
        <v>164</v>
      </c>
      <c r="B23" s="34" t="s">
        <v>165</v>
      </c>
      <c r="C23" t="s">
        <v>166</v>
      </c>
      <c r="D23" t="s">
        <v>167</v>
      </c>
      <c r="E23" t="s">
        <v>182</v>
      </c>
      <c r="F23" t="s">
        <v>197</v>
      </c>
      <c r="G23" t="s">
        <v>169</v>
      </c>
      <c r="H23">
        <v>411</v>
      </c>
      <c r="I23" s="34">
        <f>+POWER_Regional_Daily_20150101_20190305_c11b3312[[#This Row],[Column8]]/100</f>
        <v>4.1100000000000003</v>
      </c>
      <c r="J23" s="34">
        <v>5</v>
      </c>
      <c r="K23" t="s">
        <v>277</v>
      </c>
      <c r="L23">
        <f>+_xlfn.MINIFS($I$15:$I$1539,$C$15:$C$1539,L3,$D$15:$D$1539,$J$23,$I$15:$I$1539,"&gt;0")</f>
        <v>2.2000000000000002</v>
      </c>
      <c r="M23">
        <f t="shared" ref="M23:P23" si="11">+_xlfn.MINIFS($I$15:$I$1539,$C$15:$C$1539,M3,$D$15:$D$1539,$J$23,$I$15:$I$1539,"&gt;0")</f>
        <v>1.75</v>
      </c>
      <c r="N23">
        <f t="shared" si="11"/>
        <v>2.5499999999999998</v>
      </c>
      <c r="O23">
        <f t="shared" si="11"/>
        <v>2.41</v>
      </c>
      <c r="P23">
        <f t="shared" si="11"/>
        <v>0</v>
      </c>
    </row>
    <row r="24" spans="1:16" x14ac:dyDescent="0.25">
      <c r="A24" s="34" t="s">
        <v>164</v>
      </c>
      <c r="B24" s="34" t="s">
        <v>165</v>
      </c>
      <c r="C24" t="s">
        <v>166</v>
      </c>
      <c r="D24" t="s">
        <v>167</v>
      </c>
      <c r="E24" t="s">
        <v>184</v>
      </c>
      <c r="F24" t="s">
        <v>189</v>
      </c>
      <c r="G24" t="s">
        <v>169</v>
      </c>
      <c r="H24">
        <v>561</v>
      </c>
      <c r="I24" s="34">
        <f>+POWER_Regional_Daily_20150101_20190305_c11b3312[[#This Row],[Column8]]/100</f>
        <v>5.61</v>
      </c>
      <c r="J24" s="34">
        <v>6</v>
      </c>
      <c r="K24" t="s">
        <v>278</v>
      </c>
      <c r="L24">
        <f>+_xlfn.MINIFS($I$15:$I$1539,$C$15:$C$1539,L3,$D$15:$D$1539,$J$24,$I$15:$I$1539,"&gt;0")</f>
        <v>2.83</v>
      </c>
      <c r="M24">
        <f t="shared" ref="M24:P24" si="12">+_xlfn.MINIFS($I$15:$I$1539,$C$15:$C$1539,M3,$D$15:$D$1539,$J$24,$I$15:$I$1539,"&gt;0")</f>
        <v>3.27</v>
      </c>
      <c r="N24">
        <f t="shared" si="12"/>
        <v>1.92</v>
      </c>
      <c r="O24">
        <f t="shared" si="12"/>
        <v>3.26</v>
      </c>
      <c r="P24">
        <f t="shared" si="12"/>
        <v>0</v>
      </c>
    </row>
    <row r="25" spans="1:16" x14ac:dyDescent="0.25">
      <c r="A25" s="34" t="s">
        <v>164</v>
      </c>
      <c r="B25" s="34" t="s">
        <v>165</v>
      </c>
      <c r="C25" t="s">
        <v>166</v>
      </c>
      <c r="D25" t="s">
        <v>167</v>
      </c>
      <c r="E25" t="s">
        <v>186</v>
      </c>
      <c r="F25" t="s">
        <v>187</v>
      </c>
      <c r="G25" t="s">
        <v>169</v>
      </c>
      <c r="H25">
        <v>-999</v>
      </c>
      <c r="I25" s="34">
        <f>+POWER_Regional_Daily_20150101_20190305_c11b3312[[#This Row],[Column8]]/100</f>
        <v>-9.99</v>
      </c>
      <c r="J25" s="34">
        <v>7</v>
      </c>
      <c r="K25" t="s">
        <v>279</v>
      </c>
      <c r="L25">
        <f>+_xlfn.MINIFS($I$15:$I$1539,$C$15:$C$1539,L3,$D$15:$D$1539,$J$25,$I$15:$I$1539,"&gt;0")</f>
        <v>3.2</v>
      </c>
      <c r="M25">
        <f t="shared" ref="M25:P25" si="13">+_xlfn.MINIFS($I$15:$I$1539,$C$15:$C$1539,M3,$D$15:$D$1539,$J$25,$I$15:$I$1539,"&gt;0")</f>
        <v>2.72</v>
      </c>
      <c r="N25">
        <f t="shared" si="13"/>
        <v>4.0999999999999996</v>
      </c>
      <c r="O25">
        <f t="shared" si="13"/>
        <v>3.53</v>
      </c>
      <c r="P25">
        <f t="shared" si="13"/>
        <v>0</v>
      </c>
    </row>
    <row r="26" spans="1:16" x14ac:dyDescent="0.25">
      <c r="A26" s="34" t="s">
        <v>164</v>
      </c>
      <c r="B26" s="34" t="s">
        <v>165</v>
      </c>
      <c r="C26" t="s">
        <v>166</v>
      </c>
      <c r="D26" t="s">
        <v>167</v>
      </c>
      <c r="E26" t="s">
        <v>188</v>
      </c>
      <c r="F26" t="s">
        <v>189</v>
      </c>
      <c r="G26" t="s">
        <v>169</v>
      </c>
      <c r="H26">
        <v>549</v>
      </c>
      <c r="I26" s="34">
        <f>+POWER_Regional_Daily_20150101_20190305_c11b3312[[#This Row],[Column8]]/100</f>
        <v>5.49</v>
      </c>
      <c r="J26" s="34">
        <v>8</v>
      </c>
      <c r="K26" t="s">
        <v>280</v>
      </c>
      <c r="L26">
        <f>+_xlfn.MINIFS($I$15:$I$1539,$C$15:$C$1539,L3,$D$15:$D$1539,$J$26,$I$15:$I$1539,"&gt;0")</f>
        <v>2.71</v>
      </c>
      <c r="M26">
        <f t="shared" ref="M26:P26" si="14">+_xlfn.MINIFS($I$15:$I$1539,$C$15:$C$1539,M3,$D$15:$D$1539,$J$26,$I$15:$I$1539,"&gt;0")</f>
        <v>4.1399999999999997</v>
      </c>
      <c r="N26">
        <f t="shared" si="14"/>
        <v>2.95</v>
      </c>
      <c r="O26">
        <f t="shared" si="14"/>
        <v>2.5499999999999998</v>
      </c>
      <c r="P26">
        <f t="shared" si="14"/>
        <v>0</v>
      </c>
    </row>
    <row r="27" spans="1:16" x14ac:dyDescent="0.25">
      <c r="A27" s="34" t="s">
        <v>164</v>
      </c>
      <c r="B27" s="34" t="s">
        <v>165</v>
      </c>
      <c r="C27" t="s">
        <v>166</v>
      </c>
      <c r="D27" t="s">
        <v>167</v>
      </c>
      <c r="E27" t="s">
        <v>190</v>
      </c>
      <c r="F27" t="s">
        <v>206</v>
      </c>
      <c r="G27" t="s">
        <v>169</v>
      </c>
      <c r="H27">
        <v>367</v>
      </c>
      <c r="I27" s="34">
        <f>+POWER_Regional_Daily_20150101_20190305_c11b3312[[#This Row],[Column8]]/100</f>
        <v>3.67</v>
      </c>
      <c r="J27" s="34">
        <v>9</v>
      </c>
      <c r="K27" t="s">
        <v>281</v>
      </c>
      <c r="L27">
        <f>+_xlfn.MINIFS($I$15:$I$1539,$C$15:$C$1539,L3,$D$15:$D$1539,$J$27,$I$15:$I$1539,"&gt;0")</f>
        <v>2.68</v>
      </c>
      <c r="M27">
        <f t="shared" ref="M27:P27" si="15">+_xlfn.MINIFS($I$15:$I$1539,$C$15:$C$1539,M3,$D$15:$D$1539,$J$27,$I$15:$I$1539,"&gt;0")</f>
        <v>2.7</v>
      </c>
      <c r="N27">
        <f t="shared" si="15"/>
        <v>2</v>
      </c>
      <c r="O27">
        <f t="shared" si="15"/>
        <v>2.82</v>
      </c>
      <c r="P27">
        <f t="shared" si="15"/>
        <v>0</v>
      </c>
    </row>
    <row r="28" spans="1:16" x14ac:dyDescent="0.25">
      <c r="A28" s="34" t="s">
        <v>164</v>
      </c>
      <c r="B28" s="34" t="s">
        <v>165</v>
      </c>
      <c r="C28" t="s">
        <v>166</v>
      </c>
      <c r="D28" t="s">
        <v>167</v>
      </c>
      <c r="E28" t="s">
        <v>192</v>
      </c>
      <c r="F28" t="s">
        <v>197</v>
      </c>
      <c r="G28" t="s">
        <v>169</v>
      </c>
      <c r="H28">
        <v>416</v>
      </c>
      <c r="I28" s="34">
        <f>+POWER_Regional_Daily_20150101_20190305_c11b3312[[#This Row],[Column8]]/100</f>
        <v>4.16</v>
      </c>
      <c r="J28" s="34">
        <v>10</v>
      </c>
      <c r="K28" t="s">
        <v>282</v>
      </c>
      <c r="L28">
        <f>+_xlfn.MINIFS($I$15:$I$1539,$C$15:$C$1539,L3,$D$15:$D$1539,$J$28,$I$15:$I$1539,"&gt;0")</f>
        <v>2.3199999999999998</v>
      </c>
      <c r="M28">
        <f t="shared" ref="M28:P28" si="16">+_xlfn.MINIFS($I$15:$I$1539,$C$15:$C$1539,M3,$D$15:$D$1539,$J$28,$I$15:$I$1539,"&gt;0")</f>
        <v>2.0099999999999998</v>
      </c>
      <c r="N28">
        <f t="shared" si="16"/>
        <v>1.65</v>
      </c>
      <c r="O28">
        <f t="shared" si="16"/>
        <v>3.27</v>
      </c>
      <c r="P28">
        <f t="shared" si="16"/>
        <v>0</v>
      </c>
    </row>
    <row r="29" spans="1:16" x14ac:dyDescent="0.25">
      <c r="A29" s="34" t="s">
        <v>164</v>
      </c>
      <c r="B29" s="34" t="s">
        <v>165</v>
      </c>
      <c r="C29" t="s">
        <v>166</v>
      </c>
      <c r="D29" t="s">
        <v>167</v>
      </c>
      <c r="E29" t="s">
        <v>194</v>
      </c>
      <c r="F29" t="s">
        <v>235</v>
      </c>
      <c r="G29" t="s">
        <v>169</v>
      </c>
      <c r="H29">
        <v>462</v>
      </c>
      <c r="I29" s="34">
        <f>+POWER_Regional_Daily_20150101_20190305_c11b3312[[#This Row],[Column8]]/100</f>
        <v>4.62</v>
      </c>
      <c r="J29" s="34">
        <v>11</v>
      </c>
      <c r="K29" t="s">
        <v>283</v>
      </c>
      <c r="L29">
        <f>+_xlfn.MINIFS($I$15:$I$1539,$C$15:$C$1539,L3,$D$15:$D$1539,$J$29,$I$15:$I$1539,"&gt;0")</f>
        <v>2.2400000000000002</v>
      </c>
      <c r="M29">
        <f t="shared" ref="M29:P29" si="17">+_xlfn.MINIFS($I$15:$I$1539,$C$15:$C$1539,M3,$D$15:$D$1539,$J$29,$I$15:$I$1539,"&gt;0")</f>
        <v>1.97</v>
      </c>
      <c r="N29">
        <f t="shared" si="17"/>
        <v>2.38</v>
      </c>
      <c r="O29">
        <f t="shared" si="17"/>
        <v>2.67</v>
      </c>
      <c r="P29">
        <f t="shared" si="17"/>
        <v>0</v>
      </c>
    </row>
    <row r="30" spans="1:16" x14ac:dyDescent="0.25">
      <c r="A30" s="34" t="s">
        <v>164</v>
      </c>
      <c r="B30" s="34" t="s">
        <v>165</v>
      </c>
      <c r="C30" t="s">
        <v>166</v>
      </c>
      <c r="D30" t="s">
        <v>167</v>
      </c>
      <c r="E30" t="s">
        <v>196</v>
      </c>
      <c r="F30" t="s">
        <v>209</v>
      </c>
      <c r="G30" t="s">
        <v>169</v>
      </c>
      <c r="H30">
        <v>477</v>
      </c>
      <c r="I30" s="34">
        <f>+POWER_Regional_Daily_20150101_20190305_c11b3312[[#This Row],[Column8]]/100</f>
        <v>4.7699999999999996</v>
      </c>
      <c r="J30" s="34">
        <v>12</v>
      </c>
      <c r="K30" t="s">
        <v>284</v>
      </c>
      <c r="L30">
        <f>+_xlfn.MINIFS($I$15:$I$1539,$C$15:$C$1539,L3,$D$15:$D$1539,$J$30,$I$15:$I$1539,"&gt;0")</f>
        <v>2.64</v>
      </c>
      <c r="M30">
        <f t="shared" ref="M30:P30" si="18">+_xlfn.MINIFS($I$15:$I$1539,$C$15:$C$1539,M3,$D$15:$D$1539,$J$30,$I$15:$I$1539,"&gt;0")</f>
        <v>2.2400000000000002</v>
      </c>
      <c r="N30">
        <f t="shared" si="18"/>
        <v>2.72</v>
      </c>
      <c r="O30">
        <f t="shared" si="18"/>
        <v>3.46</v>
      </c>
      <c r="P30">
        <f t="shared" si="18"/>
        <v>0</v>
      </c>
    </row>
    <row r="31" spans="1:16" x14ac:dyDescent="0.25">
      <c r="A31" s="34" t="s">
        <v>164</v>
      </c>
      <c r="B31" s="34" t="s">
        <v>165</v>
      </c>
      <c r="C31" t="s">
        <v>166</v>
      </c>
      <c r="D31" t="s">
        <v>167</v>
      </c>
      <c r="E31" t="s">
        <v>198</v>
      </c>
      <c r="F31" t="s">
        <v>211</v>
      </c>
      <c r="G31" t="s">
        <v>169</v>
      </c>
      <c r="H31">
        <v>394</v>
      </c>
      <c r="I31" s="34">
        <f>+POWER_Regional_Daily_20150101_20190305_c11b3312[[#This Row],[Column8]]/100</f>
        <v>3.94</v>
      </c>
      <c r="J31" s="34"/>
    </row>
    <row r="32" spans="1:16" x14ac:dyDescent="0.25">
      <c r="A32" s="34" t="s">
        <v>164</v>
      </c>
      <c r="B32" s="34" t="s">
        <v>165</v>
      </c>
      <c r="C32" t="s">
        <v>166</v>
      </c>
      <c r="D32" t="s">
        <v>167</v>
      </c>
      <c r="E32" t="s">
        <v>199</v>
      </c>
      <c r="F32" t="s">
        <v>233</v>
      </c>
      <c r="G32" t="s">
        <v>169</v>
      </c>
      <c r="H32">
        <v>436</v>
      </c>
      <c r="I32" s="34">
        <f>+POWER_Regional_Daily_20150101_20190305_c11b3312[[#This Row],[Column8]]/100</f>
        <v>4.3600000000000003</v>
      </c>
      <c r="J32" s="34"/>
    </row>
    <row r="33" spans="1:10" x14ac:dyDescent="0.25">
      <c r="A33" s="34" t="s">
        <v>164</v>
      </c>
      <c r="B33" s="34" t="s">
        <v>165</v>
      </c>
      <c r="C33" t="s">
        <v>166</v>
      </c>
      <c r="D33" t="s">
        <v>167</v>
      </c>
      <c r="E33" t="s">
        <v>200</v>
      </c>
      <c r="F33" t="s">
        <v>197</v>
      </c>
      <c r="G33" t="s">
        <v>169</v>
      </c>
      <c r="H33">
        <v>417</v>
      </c>
      <c r="I33" s="34">
        <f>+POWER_Regional_Daily_20150101_20190305_c11b3312[[#This Row],[Column8]]/100</f>
        <v>4.17</v>
      </c>
      <c r="J33" s="34"/>
    </row>
    <row r="34" spans="1:10" x14ac:dyDescent="0.25">
      <c r="A34" s="34" t="s">
        <v>164</v>
      </c>
      <c r="B34" s="34" t="s">
        <v>165</v>
      </c>
      <c r="C34" t="s">
        <v>166</v>
      </c>
      <c r="D34" t="s">
        <v>167</v>
      </c>
      <c r="E34" t="s">
        <v>202</v>
      </c>
      <c r="F34" t="s">
        <v>229</v>
      </c>
      <c r="G34" t="s">
        <v>169</v>
      </c>
      <c r="H34">
        <v>333</v>
      </c>
      <c r="I34" s="34">
        <f>+POWER_Regional_Daily_20150101_20190305_c11b3312[[#This Row],[Column8]]/100</f>
        <v>3.33</v>
      </c>
      <c r="J34" s="34"/>
    </row>
    <row r="35" spans="1:10" x14ac:dyDescent="0.25">
      <c r="A35" s="34" t="s">
        <v>164</v>
      </c>
      <c r="B35" s="34" t="s">
        <v>165</v>
      </c>
      <c r="C35" t="s">
        <v>166</v>
      </c>
      <c r="D35" t="s">
        <v>167</v>
      </c>
      <c r="E35" t="s">
        <v>203</v>
      </c>
      <c r="F35" t="s">
        <v>233</v>
      </c>
      <c r="G35" t="s">
        <v>169</v>
      </c>
      <c r="H35">
        <v>444</v>
      </c>
      <c r="I35" s="34">
        <f>+POWER_Regional_Daily_20150101_20190305_c11b3312[[#This Row],[Column8]]/100</f>
        <v>4.4400000000000004</v>
      </c>
      <c r="J35" s="34"/>
    </row>
    <row r="36" spans="1:10" x14ac:dyDescent="0.25">
      <c r="A36" s="34" t="s">
        <v>164</v>
      </c>
      <c r="B36" s="34" t="s">
        <v>165</v>
      </c>
      <c r="C36" t="s">
        <v>166</v>
      </c>
      <c r="D36" t="s">
        <v>167</v>
      </c>
      <c r="E36" t="s">
        <v>205</v>
      </c>
      <c r="F36" t="s">
        <v>227</v>
      </c>
      <c r="G36" t="s">
        <v>169</v>
      </c>
      <c r="H36">
        <v>316</v>
      </c>
      <c r="I36" s="34">
        <f>+POWER_Regional_Daily_20150101_20190305_c11b3312[[#This Row],[Column8]]/100</f>
        <v>3.16</v>
      </c>
      <c r="J36" s="34"/>
    </row>
    <row r="37" spans="1:10" x14ac:dyDescent="0.25">
      <c r="A37" s="34" t="s">
        <v>164</v>
      </c>
      <c r="B37" s="34" t="s">
        <v>165</v>
      </c>
      <c r="C37" t="s">
        <v>166</v>
      </c>
      <c r="D37" t="s">
        <v>167</v>
      </c>
      <c r="E37" t="s">
        <v>207</v>
      </c>
      <c r="F37" t="s">
        <v>233</v>
      </c>
      <c r="G37" t="s">
        <v>169</v>
      </c>
      <c r="H37">
        <v>445</v>
      </c>
      <c r="I37" s="34">
        <f>+POWER_Regional_Daily_20150101_20190305_c11b3312[[#This Row],[Column8]]/100</f>
        <v>4.45</v>
      </c>
      <c r="J37" s="34"/>
    </row>
    <row r="38" spans="1:10" x14ac:dyDescent="0.25">
      <c r="A38" s="34" t="s">
        <v>164</v>
      </c>
      <c r="B38" s="34" t="s">
        <v>165</v>
      </c>
      <c r="C38" t="s">
        <v>166</v>
      </c>
      <c r="D38" t="s">
        <v>167</v>
      </c>
      <c r="E38" t="s">
        <v>208</v>
      </c>
      <c r="F38" t="s">
        <v>195</v>
      </c>
      <c r="G38" t="s">
        <v>169</v>
      </c>
      <c r="H38">
        <v>449</v>
      </c>
      <c r="I38" s="34">
        <f>+POWER_Regional_Daily_20150101_20190305_c11b3312[[#This Row],[Column8]]/100</f>
        <v>4.49</v>
      </c>
      <c r="J38" s="34"/>
    </row>
    <row r="39" spans="1:10" x14ac:dyDescent="0.25">
      <c r="A39" s="34" t="s">
        <v>164</v>
      </c>
      <c r="B39" s="34" t="s">
        <v>165</v>
      </c>
      <c r="C39" t="s">
        <v>166</v>
      </c>
      <c r="D39" t="s">
        <v>167</v>
      </c>
      <c r="E39" t="s">
        <v>210</v>
      </c>
      <c r="F39" t="s">
        <v>193</v>
      </c>
      <c r="G39" t="s">
        <v>169</v>
      </c>
      <c r="H39">
        <v>385</v>
      </c>
      <c r="I39" s="34">
        <f>+POWER_Regional_Daily_20150101_20190305_c11b3312[[#This Row],[Column8]]/100</f>
        <v>3.85</v>
      </c>
      <c r="J39" s="34"/>
    </row>
    <row r="40" spans="1:10" x14ac:dyDescent="0.25">
      <c r="A40" s="34" t="s">
        <v>164</v>
      </c>
      <c r="B40" s="34" t="s">
        <v>165</v>
      </c>
      <c r="C40" t="s">
        <v>166</v>
      </c>
      <c r="D40" t="s">
        <v>167</v>
      </c>
      <c r="E40" t="s">
        <v>212</v>
      </c>
      <c r="F40" t="s">
        <v>213</v>
      </c>
      <c r="G40" t="s">
        <v>169</v>
      </c>
      <c r="H40">
        <v>522</v>
      </c>
      <c r="I40" s="34">
        <f>+POWER_Regional_Daily_20150101_20190305_c11b3312[[#This Row],[Column8]]/100</f>
        <v>5.22</v>
      </c>
      <c r="J40" s="34"/>
    </row>
    <row r="41" spans="1:10" x14ac:dyDescent="0.25">
      <c r="A41" s="34" t="s">
        <v>164</v>
      </c>
      <c r="B41" s="34" t="s">
        <v>165</v>
      </c>
      <c r="C41" t="s">
        <v>166</v>
      </c>
      <c r="D41" t="s">
        <v>167</v>
      </c>
      <c r="E41" t="s">
        <v>214</v>
      </c>
      <c r="F41" t="s">
        <v>187</v>
      </c>
      <c r="G41" t="s">
        <v>169</v>
      </c>
      <c r="H41">
        <v>-999</v>
      </c>
      <c r="I41" s="34">
        <f>+POWER_Regional_Daily_20150101_20190305_c11b3312[[#This Row],[Column8]]/100</f>
        <v>-9.99</v>
      </c>
      <c r="J41" s="34"/>
    </row>
    <row r="42" spans="1:10" x14ac:dyDescent="0.25">
      <c r="A42" s="34" t="s">
        <v>164</v>
      </c>
      <c r="B42" s="34" t="s">
        <v>165</v>
      </c>
      <c r="C42" t="s">
        <v>166</v>
      </c>
      <c r="D42" t="s">
        <v>167</v>
      </c>
      <c r="E42" t="s">
        <v>215</v>
      </c>
      <c r="F42" t="s">
        <v>233</v>
      </c>
      <c r="G42" t="s">
        <v>169</v>
      </c>
      <c r="H42">
        <v>445</v>
      </c>
      <c r="I42" s="34">
        <f>+POWER_Regional_Daily_20150101_20190305_c11b3312[[#This Row],[Column8]]/100</f>
        <v>4.45</v>
      </c>
      <c r="J42" s="34"/>
    </row>
    <row r="43" spans="1:10" x14ac:dyDescent="0.25">
      <c r="A43" s="34" t="s">
        <v>164</v>
      </c>
      <c r="B43" s="34" t="s">
        <v>165</v>
      </c>
      <c r="C43" t="s">
        <v>166</v>
      </c>
      <c r="D43" t="s">
        <v>167</v>
      </c>
      <c r="E43" t="s">
        <v>217</v>
      </c>
      <c r="F43" t="s">
        <v>218</v>
      </c>
      <c r="G43" t="s">
        <v>169</v>
      </c>
      <c r="H43">
        <v>567</v>
      </c>
      <c r="I43" s="34">
        <f>+POWER_Regional_Daily_20150101_20190305_c11b3312[[#This Row],[Column8]]/100</f>
        <v>5.67</v>
      </c>
      <c r="J43" s="34"/>
    </row>
    <row r="44" spans="1:10" x14ac:dyDescent="0.25">
      <c r="A44" s="34" t="s">
        <v>164</v>
      </c>
      <c r="B44" s="34" t="s">
        <v>165</v>
      </c>
      <c r="C44" t="s">
        <v>166</v>
      </c>
      <c r="D44" t="s">
        <v>167</v>
      </c>
      <c r="E44" t="s">
        <v>219</v>
      </c>
      <c r="F44" t="s">
        <v>195</v>
      </c>
      <c r="G44" t="s">
        <v>169</v>
      </c>
      <c r="H44">
        <v>456</v>
      </c>
      <c r="I44" s="34">
        <f>+POWER_Regional_Daily_20150101_20190305_c11b3312[[#This Row],[Column8]]/100</f>
        <v>4.5599999999999996</v>
      </c>
      <c r="J44" s="34"/>
    </row>
    <row r="45" spans="1:10" x14ac:dyDescent="0.25">
      <c r="A45" s="34" t="s">
        <v>164</v>
      </c>
      <c r="B45" s="34" t="s">
        <v>165</v>
      </c>
      <c r="C45" t="s">
        <v>166</v>
      </c>
      <c r="D45" t="s">
        <v>167</v>
      </c>
      <c r="E45" t="s">
        <v>220</v>
      </c>
      <c r="F45" t="s">
        <v>224</v>
      </c>
      <c r="G45" t="s">
        <v>169</v>
      </c>
      <c r="H45">
        <v>445</v>
      </c>
      <c r="I45" s="34">
        <f>+POWER_Regional_Daily_20150101_20190305_c11b3312[[#This Row],[Column8]]/100</f>
        <v>4.45</v>
      </c>
      <c r="J45" s="34"/>
    </row>
    <row r="46" spans="1:10" x14ac:dyDescent="0.25">
      <c r="A46" s="34" t="s">
        <v>164</v>
      </c>
      <c r="B46" s="34" t="s">
        <v>165</v>
      </c>
      <c r="C46" t="s">
        <v>166</v>
      </c>
      <c r="D46" t="s">
        <v>170</v>
      </c>
      <c r="E46" t="s">
        <v>167</v>
      </c>
      <c r="F46" t="s">
        <v>218</v>
      </c>
      <c r="G46" t="s">
        <v>169</v>
      </c>
      <c r="H46">
        <v>570</v>
      </c>
      <c r="I46" s="34">
        <f>+POWER_Regional_Daily_20150101_20190305_c11b3312[[#This Row],[Column8]]/100</f>
        <v>5.7</v>
      </c>
      <c r="J46" s="34"/>
    </row>
    <row r="47" spans="1:10" x14ac:dyDescent="0.25">
      <c r="A47" s="34" t="s">
        <v>164</v>
      </c>
      <c r="B47" s="34" t="s">
        <v>165</v>
      </c>
      <c r="C47" t="s">
        <v>166</v>
      </c>
      <c r="D47" t="s">
        <v>170</v>
      </c>
      <c r="E47" t="s">
        <v>170</v>
      </c>
      <c r="F47" t="s">
        <v>204</v>
      </c>
      <c r="G47" t="s">
        <v>169</v>
      </c>
      <c r="H47">
        <v>428</v>
      </c>
      <c r="I47" s="34">
        <f>+POWER_Regional_Daily_20150101_20190305_c11b3312[[#This Row],[Column8]]/100</f>
        <v>4.28</v>
      </c>
      <c r="J47" s="34"/>
    </row>
    <row r="48" spans="1:10" x14ac:dyDescent="0.25">
      <c r="A48" s="34" t="s">
        <v>164</v>
      </c>
      <c r="B48" s="34" t="s">
        <v>165</v>
      </c>
      <c r="C48" t="s">
        <v>166</v>
      </c>
      <c r="D48" t="s">
        <v>170</v>
      </c>
      <c r="E48" t="s">
        <v>172</v>
      </c>
      <c r="F48" t="s">
        <v>224</v>
      </c>
      <c r="G48" t="s">
        <v>169</v>
      </c>
      <c r="H48">
        <v>440</v>
      </c>
      <c r="I48" s="34">
        <f>+POWER_Regional_Daily_20150101_20190305_c11b3312[[#This Row],[Column8]]/100</f>
        <v>4.4000000000000004</v>
      </c>
      <c r="J48" s="34"/>
    </row>
    <row r="49" spans="1:10" x14ac:dyDescent="0.25">
      <c r="A49" s="34" t="s">
        <v>164</v>
      </c>
      <c r="B49" s="34" t="s">
        <v>165</v>
      </c>
      <c r="C49" t="s">
        <v>166</v>
      </c>
      <c r="D49" t="s">
        <v>170</v>
      </c>
      <c r="E49" t="s">
        <v>174</v>
      </c>
      <c r="F49" t="s">
        <v>181</v>
      </c>
      <c r="G49" t="s">
        <v>169</v>
      </c>
      <c r="H49">
        <v>542</v>
      </c>
      <c r="I49" s="34">
        <f>+POWER_Regional_Daily_20150101_20190305_c11b3312[[#This Row],[Column8]]/100</f>
        <v>5.42</v>
      </c>
      <c r="J49" s="34"/>
    </row>
    <row r="50" spans="1:10" x14ac:dyDescent="0.25">
      <c r="A50" s="34" t="s">
        <v>164</v>
      </c>
      <c r="B50" s="34" t="s">
        <v>165</v>
      </c>
      <c r="C50" t="s">
        <v>166</v>
      </c>
      <c r="D50" t="s">
        <v>170</v>
      </c>
      <c r="E50" t="s">
        <v>175</v>
      </c>
      <c r="F50" t="s">
        <v>299</v>
      </c>
      <c r="G50" t="s">
        <v>169</v>
      </c>
      <c r="H50">
        <v>198</v>
      </c>
      <c r="I50" s="34">
        <f>+POWER_Regional_Daily_20150101_20190305_c11b3312[[#This Row],[Column8]]/100</f>
        <v>1.98</v>
      </c>
      <c r="J50" s="34"/>
    </row>
    <row r="51" spans="1:10" x14ac:dyDescent="0.25">
      <c r="A51" s="34" t="s">
        <v>164</v>
      </c>
      <c r="B51" s="34" t="s">
        <v>165</v>
      </c>
      <c r="C51" t="s">
        <v>166</v>
      </c>
      <c r="D51" t="s">
        <v>170</v>
      </c>
      <c r="E51" t="s">
        <v>177</v>
      </c>
      <c r="F51" t="s">
        <v>259</v>
      </c>
      <c r="G51" t="s">
        <v>169</v>
      </c>
      <c r="H51">
        <v>173</v>
      </c>
      <c r="I51" s="34">
        <f>+POWER_Regional_Daily_20150101_20190305_c11b3312[[#This Row],[Column8]]/100</f>
        <v>1.73</v>
      </c>
      <c r="J51" s="34"/>
    </row>
    <row r="52" spans="1:10" x14ac:dyDescent="0.25">
      <c r="A52" s="34" t="s">
        <v>164</v>
      </c>
      <c r="B52" s="34" t="s">
        <v>165</v>
      </c>
      <c r="C52" t="s">
        <v>166</v>
      </c>
      <c r="D52" t="s">
        <v>170</v>
      </c>
      <c r="E52" t="s">
        <v>178</v>
      </c>
      <c r="F52" t="s">
        <v>256</v>
      </c>
      <c r="G52" t="s">
        <v>169</v>
      </c>
      <c r="H52">
        <v>224</v>
      </c>
      <c r="I52" s="34">
        <f>+POWER_Regional_Daily_20150101_20190305_c11b3312[[#This Row],[Column8]]/100</f>
        <v>2.2400000000000002</v>
      </c>
      <c r="J52" s="34"/>
    </row>
    <row r="53" spans="1:10" x14ac:dyDescent="0.25">
      <c r="A53" s="34" t="s">
        <v>164</v>
      </c>
      <c r="B53" s="34" t="s">
        <v>165</v>
      </c>
      <c r="C53" t="s">
        <v>166</v>
      </c>
      <c r="D53" t="s">
        <v>170</v>
      </c>
      <c r="E53" t="s">
        <v>180</v>
      </c>
      <c r="F53" t="s">
        <v>225</v>
      </c>
      <c r="G53" t="s">
        <v>169</v>
      </c>
      <c r="H53">
        <v>295</v>
      </c>
      <c r="I53" s="34">
        <f>+POWER_Regional_Daily_20150101_20190305_c11b3312[[#This Row],[Column8]]/100</f>
        <v>2.95</v>
      </c>
      <c r="J53" s="34"/>
    </row>
    <row r="54" spans="1:10" x14ac:dyDescent="0.25">
      <c r="A54" s="34" t="s">
        <v>164</v>
      </c>
      <c r="B54" s="34" t="s">
        <v>165</v>
      </c>
      <c r="C54" t="s">
        <v>166</v>
      </c>
      <c r="D54" t="s">
        <v>170</v>
      </c>
      <c r="E54" t="s">
        <v>182</v>
      </c>
      <c r="F54" t="s">
        <v>191</v>
      </c>
      <c r="G54" t="s">
        <v>169</v>
      </c>
      <c r="H54">
        <v>334</v>
      </c>
      <c r="I54" s="34">
        <f>+POWER_Regional_Daily_20150101_20190305_c11b3312[[#This Row],[Column8]]/100</f>
        <v>3.34</v>
      </c>
      <c r="J54" s="34"/>
    </row>
    <row r="55" spans="1:10" x14ac:dyDescent="0.25">
      <c r="A55" s="34" t="s">
        <v>164</v>
      </c>
      <c r="B55" s="34" t="s">
        <v>165</v>
      </c>
      <c r="C55" t="s">
        <v>166</v>
      </c>
      <c r="D55" t="s">
        <v>170</v>
      </c>
      <c r="E55" t="s">
        <v>184</v>
      </c>
      <c r="F55" t="s">
        <v>197</v>
      </c>
      <c r="G55" t="s">
        <v>169</v>
      </c>
      <c r="H55">
        <v>439</v>
      </c>
      <c r="I55" s="34">
        <f>+POWER_Regional_Daily_20150101_20190305_c11b3312[[#This Row],[Column8]]/100</f>
        <v>4.3899999999999997</v>
      </c>
      <c r="J55" s="34"/>
    </row>
    <row r="56" spans="1:10" x14ac:dyDescent="0.25">
      <c r="A56" s="34" t="s">
        <v>164</v>
      </c>
      <c r="B56" s="34" t="s">
        <v>165</v>
      </c>
      <c r="C56" t="s">
        <v>166</v>
      </c>
      <c r="D56" t="s">
        <v>170</v>
      </c>
      <c r="E56" t="s">
        <v>186</v>
      </c>
      <c r="F56" t="s">
        <v>230</v>
      </c>
      <c r="G56" t="s">
        <v>169</v>
      </c>
      <c r="H56">
        <v>373</v>
      </c>
      <c r="I56" s="34">
        <f>+POWER_Regional_Daily_20150101_20190305_c11b3312[[#This Row],[Column8]]/100</f>
        <v>3.73</v>
      </c>
      <c r="J56" s="34"/>
    </row>
    <row r="57" spans="1:10" x14ac:dyDescent="0.25">
      <c r="A57" s="34" t="s">
        <v>164</v>
      </c>
      <c r="B57" s="34" t="s">
        <v>165</v>
      </c>
      <c r="C57" t="s">
        <v>166</v>
      </c>
      <c r="D57" t="s">
        <v>170</v>
      </c>
      <c r="E57" t="s">
        <v>188</v>
      </c>
      <c r="F57" t="s">
        <v>187</v>
      </c>
      <c r="G57" t="s">
        <v>169</v>
      </c>
      <c r="H57">
        <v>-999</v>
      </c>
      <c r="I57" s="34">
        <f>+POWER_Regional_Daily_20150101_20190305_c11b3312[[#This Row],[Column8]]/100</f>
        <v>-9.99</v>
      </c>
      <c r="J57" s="34"/>
    </row>
    <row r="58" spans="1:10" x14ac:dyDescent="0.25">
      <c r="A58" s="34" t="s">
        <v>164</v>
      </c>
      <c r="B58" s="34" t="s">
        <v>165</v>
      </c>
      <c r="C58" t="s">
        <v>166</v>
      </c>
      <c r="D58" t="s">
        <v>170</v>
      </c>
      <c r="E58" t="s">
        <v>190</v>
      </c>
      <c r="F58" t="s">
        <v>204</v>
      </c>
      <c r="G58" t="s">
        <v>169</v>
      </c>
      <c r="H58">
        <v>431</v>
      </c>
      <c r="I58" s="34">
        <f>+POWER_Regional_Daily_20150101_20190305_c11b3312[[#This Row],[Column8]]/100</f>
        <v>4.3099999999999996</v>
      </c>
      <c r="J58" s="34"/>
    </row>
    <row r="59" spans="1:10" x14ac:dyDescent="0.25">
      <c r="A59" s="34" t="s">
        <v>164</v>
      </c>
      <c r="B59" s="34" t="s">
        <v>165</v>
      </c>
      <c r="C59" t="s">
        <v>166</v>
      </c>
      <c r="D59" t="s">
        <v>170</v>
      </c>
      <c r="E59" t="s">
        <v>192</v>
      </c>
      <c r="F59" t="s">
        <v>204</v>
      </c>
      <c r="G59" t="s">
        <v>169</v>
      </c>
      <c r="H59">
        <v>436</v>
      </c>
      <c r="I59" s="34">
        <f>+POWER_Regional_Daily_20150101_20190305_c11b3312[[#This Row],[Column8]]/100</f>
        <v>4.3600000000000003</v>
      </c>
      <c r="J59" s="34"/>
    </row>
    <row r="60" spans="1:10" x14ac:dyDescent="0.25">
      <c r="A60" s="34" t="s">
        <v>164</v>
      </c>
      <c r="B60" s="34" t="s">
        <v>165</v>
      </c>
      <c r="C60" t="s">
        <v>166</v>
      </c>
      <c r="D60" t="s">
        <v>170</v>
      </c>
      <c r="E60" t="s">
        <v>194</v>
      </c>
      <c r="F60" t="s">
        <v>223</v>
      </c>
      <c r="G60" t="s">
        <v>169</v>
      </c>
      <c r="H60">
        <v>496</v>
      </c>
      <c r="I60" s="34">
        <f>+POWER_Regional_Daily_20150101_20190305_c11b3312[[#This Row],[Column8]]/100</f>
        <v>4.96</v>
      </c>
      <c r="J60" s="34"/>
    </row>
    <row r="61" spans="1:10" x14ac:dyDescent="0.25">
      <c r="A61" s="34" t="s">
        <v>164</v>
      </c>
      <c r="B61" s="34" t="s">
        <v>165</v>
      </c>
      <c r="C61" t="s">
        <v>166</v>
      </c>
      <c r="D61" t="s">
        <v>170</v>
      </c>
      <c r="E61" t="s">
        <v>196</v>
      </c>
      <c r="F61" t="s">
        <v>183</v>
      </c>
      <c r="G61" t="s">
        <v>169</v>
      </c>
      <c r="H61">
        <v>572</v>
      </c>
      <c r="I61" s="34">
        <f>+POWER_Regional_Daily_20150101_20190305_c11b3312[[#This Row],[Column8]]/100</f>
        <v>5.72</v>
      </c>
      <c r="J61" s="34"/>
    </row>
    <row r="62" spans="1:10" x14ac:dyDescent="0.25">
      <c r="A62" s="34" t="s">
        <v>164</v>
      </c>
      <c r="B62" s="34" t="s">
        <v>165</v>
      </c>
      <c r="C62" t="s">
        <v>166</v>
      </c>
      <c r="D62" t="s">
        <v>170</v>
      </c>
      <c r="E62" t="s">
        <v>198</v>
      </c>
      <c r="F62" t="s">
        <v>183</v>
      </c>
      <c r="G62" t="s">
        <v>169</v>
      </c>
      <c r="H62">
        <v>574</v>
      </c>
      <c r="I62" s="34">
        <f>+POWER_Regional_Daily_20150101_20190305_c11b3312[[#This Row],[Column8]]/100</f>
        <v>5.74</v>
      </c>
      <c r="J62" s="34"/>
    </row>
    <row r="63" spans="1:10" x14ac:dyDescent="0.25">
      <c r="A63" s="34" t="s">
        <v>164</v>
      </c>
      <c r="B63" s="34" t="s">
        <v>165</v>
      </c>
      <c r="C63" t="s">
        <v>166</v>
      </c>
      <c r="D63" t="s">
        <v>170</v>
      </c>
      <c r="E63" t="s">
        <v>199</v>
      </c>
      <c r="F63" t="s">
        <v>233</v>
      </c>
      <c r="G63" t="s">
        <v>169</v>
      </c>
      <c r="H63">
        <v>462</v>
      </c>
      <c r="I63" s="34">
        <f>+POWER_Regional_Daily_20150101_20190305_c11b3312[[#This Row],[Column8]]/100</f>
        <v>4.62</v>
      </c>
      <c r="J63" s="34"/>
    </row>
    <row r="64" spans="1:10" x14ac:dyDescent="0.25">
      <c r="A64" s="34" t="s">
        <v>164</v>
      </c>
      <c r="B64" s="34" t="s">
        <v>165</v>
      </c>
      <c r="C64" t="s">
        <v>166</v>
      </c>
      <c r="D64" t="s">
        <v>170</v>
      </c>
      <c r="E64" t="s">
        <v>200</v>
      </c>
      <c r="F64" t="s">
        <v>224</v>
      </c>
      <c r="G64" t="s">
        <v>169</v>
      </c>
      <c r="H64">
        <v>466</v>
      </c>
      <c r="I64" s="34">
        <f>+POWER_Regional_Daily_20150101_20190305_c11b3312[[#This Row],[Column8]]/100</f>
        <v>4.66</v>
      </c>
      <c r="J64" s="34"/>
    </row>
    <row r="65" spans="1:10" x14ac:dyDescent="0.25">
      <c r="A65" s="34" t="s">
        <v>164</v>
      </c>
      <c r="B65" s="34" t="s">
        <v>165</v>
      </c>
      <c r="C65" t="s">
        <v>166</v>
      </c>
      <c r="D65" t="s">
        <v>170</v>
      </c>
      <c r="E65" t="s">
        <v>202</v>
      </c>
      <c r="F65" t="s">
        <v>224</v>
      </c>
      <c r="G65" t="s">
        <v>169</v>
      </c>
      <c r="H65">
        <v>462</v>
      </c>
      <c r="I65" s="34">
        <f>+POWER_Regional_Daily_20150101_20190305_c11b3312[[#This Row],[Column8]]/100</f>
        <v>4.62</v>
      </c>
      <c r="J65" s="34"/>
    </row>
    <row r="66" spans="1:10" x14ac:dyDescent="0.25">
      <c r="A66" s="34" t="s">
        <v>164</v>
      </c>
      <c r="B66" s="34" t="s">
        <v>165</v>
      </c>
      <c r="C66" t="s">
        <v>166</v>
      </c>
      <c r="D66" t="s">
        <v>170</v>
      </c>
      <c r="E66" t="s">
        <v>203</v>
      </c>
      <c r="F66" t="s">
        <v>218</v>
      </c>
      <c r="G66" t="s">
        <v>169</v>
      </c>
      <c r="H66">
        <v>593</v>
      </c>
      <c r="I66" s="34">
        <f>+POWER_Regional_Daily_20150101_20190305_c11b3312[[#This Row],[Column8]]/100</f>
        <v>5.93</v>
      </c>
      <c r="J66" s="34"/>
    </row>
    <row r="67" spans="1:10" x14ac:dyDescent="0.25">
      <c r="A67" s="34" t="s">
        <v>164</v>
      </c>
      <c r="B67" s="34" t="s">
        <v>165</v>
      </c>
      <c r="C67" t="s">
        <v>166</v>
      </c>
      <c r="D67" t="s">
        <v>170</v>
      </c>
      <c r="E67" t="s">
        <v>205</v>
      </c>
      <c r="F67" t="s">
        <v>238</v>
      </c>
      <c r="G67" t="s">
        <v>169</v>
      </c>
      <c r="H67">
        <v>646</v>
      </c>
      <c r="I67" s="34">
        <f>+POWER_Regional_Daily_20150101_20190305_c11b3312[[#This Row],[Column8]]/100</f>
        <v>6.46</v>
      </c>
      <c r="J67" s="34"/>
    </row>
    <row r="68" spans="1:10" x14ac:dyDescent="0.25">
      <c r="A68" s="34" t="s">
        <v>164</v>
      </c>
      <c r="B68" s="34" t="s">
        <v>165</v>
      </c>
      <c r="C68" t="s">
        <v>166</v>
      </c>
      <c r="D68" t="s">
        <v>170</v>
      </c>
      <c r="E68" t="s">
        <v>207</v>
      </c>
      <c r="F68" t="s">
        <v>235</v>
      </c>
      <c r="G68" t="s">
        <v>169</v>
      </c>
      <c r="H68">
        <v>516</v>
      </c>
      <c r="I68" s="34">
        <f>+POWER_Regional_Daily_20150101_20190305_c11b3312[[#This Row],[Column8]]/100</f>
        <v>5.16</v>
      </c>
      <c r="J68" s="34"/>
    </row>
    <row r="69" spans="1:10" x14ac:dyDescent="0.25">
      <c r="A69" s="34" t="s">
        <v>164</v>
      </c>
      <c r="B69" s="34" t="s">
        <v>165</v>
      </c>
      <c r="C69" t="s">
        <v>166</v>
      </c>
      <c r="D69" t="s">
        <v>170</v>
      </c>
      <c r="E69" t="s">
        <v>208</v>
      </c>
      <c r="F69" t="s">
        <v>223</v>
      </c>
      <c r="G69" t="s">
        <v>169</v>
      </c>
      <c r="H69">
        <v>499</v>
      </c>
      <c r="I69" s="34">
        <f>+POWER_Regional_Daily_20150101_20190305_c11b3312[[#This Row],[Column8]]/100</f>
        <v>4.99</v>
      </c>
      <c r="J69" s="34"/>
    </row>
    <row r="70" spans="1:10" x14ac:dyDescent="0.25">
      <c r="A70" s="34" t="s">
        <v>164</v>
      </c>
      <c r="B70" s="34" t="s">
        <v>165</v>
      </c>
      <c r="C70" t="s">
        <v>166</v>
      </c>
      <c r="D70" t="s">
        <v>170</v>
      </c>
      <c r="E70" t="s">
        <v>210</v>
      </c>
      <c r="F70" t="s">
        <v>221</v>
      </c>
      <c r="G70" t="s">
        <v>169</v>
      </c>
      <c r="H70">
        <v>418</v>
      </c>
      <c r="I70" s="34">
        <f>+POWER_Regional_Daily_20150101_20190305_c11b3312[[#This Row],[Column8]]/100</f>
        <v>4.18</v>
      </c>
      <c r="J70" s="34"/>
    </row>
    <row r="71" spans="1:10" x14ac:dyDescent="0.25">
      <c r="A71" s="34" t="s">
        <v>164</v>
      </c>
      <c r="B71" s="34" t="s">
        <v>165</v>
      </c>
      <c r="C71" t="s">
        <v>166</v>
      </c>
      <c r="D71" t="s">
        <v>170</v>
      </c>
      <c r="E71" t="s">
        <v>212</v>
      </c>
      <c r="F71" t="s">
        <v>221</v>
      </c>
      <c r="G71" t="s">
        <v>169</v>
      </c>
      <c r="H71">
        <v>427</v>
      </c>
      <c r="I71" s="34">
        <f>+POWER_Regional_Daily_20150101_20190305_c11b3312[[#This Row],[Column8]]/100</f>
        <v>4.2699999999999996</v>
      </c>
      <c r="J71" s="34"/>
    </row>
    <row r="72" spans="1:10" x14ac:dyDescent="0.25">
      <c r="A72" s="34" t="s">
        <v>164</v>
      </c>
      <c r="B72" s="34" t="s">
        <v>165</v>
      </c>
      <c r="C72" t="s">
        <v>166</v>
      </c>
      <c r="D72" t="s">
        <v>170</v>
      </c>
      <c r="E72" t="s">
        <v>214</v>
      </c>
      <c r="F72" t="s">
        <v>197</v>
      </c>
      <c r="G72" t="s">
        <v>169</v>
      </c>
      <c r="H72">
        <v>456</v>
      </c>
      <c r="I72" s="34">
        <f>+POWER_Regional_Daily_20150101_20190305_c11b3312[[#This Row],[Column8]]/100</f>
        <v>4.5599999999999996</v>
      </c>
      <c r="J72" s="34"/>
    </row>
    <row r="73" spans="1:10" x14ac:dyDescent="0.25">
      <c r="A73" s="34" t="s">
        <v>164</v>
      </c>
      <c r="B73" s="34" t="s">
        <v>165</v>
      </c>
      <c r="C73" t="s">
        <v>166</v>
      </c>
      <c r="D73" t="s">
        <v>170</v>
      </c>
      <c r="E73" t="s">
        <v>215</v>
      </c>
      <c r="F73" t="s">
        <v>187</v>
      </c>
      <c r="G73" t="s">
        <v>169</v>
      </c>
      <c r="H73">
        <v>-999</v>
      </c>
      <c r="I73" s="34">
        <f>+POWER_Regional_Daily_20150101_20190305_c11b3312[[#This Row],[Column8]]/100</f>
        <v>-9.99</v>
      </c>
      <c r="J73" s="34"/>
    </row>
    <row r="74" spans="1:10" x14ac:dyDescent="0.25">
      <c r="A74" s="34" t="s">
        <v>164</v>
      </c>
      <c r="B74" s="34" t="s">
        <v>165</v>
      </c>
      <c r="C74" t="s">
        <v>166</v>
      </c>
      <c r="D74" t="s">
        <v>172</v>
      </c>
      <c r="E74" t="s">
        <v>167</v>
      </c>
      <c r="F74" t="s">
        <v>213</v>
      </c>
      <c r="G74" t="s">
        <v>169</v>
      </c>
      <c r="H74">
        <v>559</v>
      </c>
      <c r="I74" s="34">
        <f>+POWER_Regional_Daily_20150101_20190305_c11b3312[[#This Row],[Column8]]/100</f>
        <v>5.59</v>
      </c>
      <c r="J74" s="34"/>
    </row>
    <row r="75" spans="1:10" x14ac:dyDescent="0.25">
      <c r="A75" s="34" t="s">
        <v>164</v>
      </c>
      <c r="B75" s="34" t="s">
        <v>165</v>
      </c>
      <c r="C75" t="s">
        <v>166</v>
      </c>
      <c r="D75" t="s">
        <v>172</v>
      </c>
      <c r="E75" t="s">
        <v>170</v>
      </c>
      <c r="F75" t="s">
        <v>235</v>
      </c>
      <c r="G75" t="s">
        <v>169</v>
      </c>
      <c r="H75">
        <v>511</v>
      </c>
      <c r="I75" s="34">
        <f>+POWER_Regional_Daily_20150101_20190305_c11b3312[[#This Row],[Column8]]/100</f>
        <v>5.1100000000000003</v>
      </c>
      <c r="J75" s="34"/>
    </row>
    <row r="76" spans="1:10" x14ac:dyDescent="0.25">
      <c r="A76" s="34" t="s">
        <v>164</v>
      </c>
      <c r="B76" s="34" t="s">
        <v>165</v>
      </c>
      <c r="C76" t="s">
        <v>166</v>
      </c>
      <c r="D76" t="s">
        <v>172</v>
      </c>
      <c r="E76" t="s">
        <v>172</v>
      </c>
      <c r="F76" t="s">
        <v>235</v>
      </c>
      <c r="G76" t="s">
        <v>169</v>
      </c>
      <c r="H76">
        <v>518</v>
      </c>
      <c r="I76" s="34">
        <f>+POWER_Regional_Daily_20150101_20190305_c11b3312[[#This Row],[Column8]]/100</f>
        <v>5.18</v>
      </c>
      <c r="J76" s="34"/>
    </row>
    <row r="77" spans="1:10" x14ac:dyDescent="0.25">
      <c r="A77" s="34" t="s">
        <v>164</v>
      </c>
      <c r="B77" s="34" t="s">
        <v>165</v>
      </c>
      <c r="C77" t="s">
        <v>166</v>
      </c>
      <c r="D77" t="s">
        <v>172</v>
      </c>
      <c r="E77" t="s">
        <v>174</v>
      </c>
      <c r="F77" t="s">
        <v>209</v>
      </c>
      <c r="G77" t="s">
        <v>169</v>
      </c>
      <c r="H77">
        <v>532</v>
      </c>
      <c r="I77" s="34">
        <f>+POWER_Regional_Daily_20150101_20190305_c11b3312[[#This Row],[Column8]]/100</f>
        <v>5.32</v>
      </c>
      <c r="J77" s="34"/>
    </row>
    <row r="78" spans="1:10" x14ac:dyDescent="0.25">
      <c r="A78" s="34" t="s">
        <v>164</v>
      </c>
      <c r="B78" s="34" t="s">
        <v>165</v>
      </c>
      <c r="C78" t="s">
        <v>166</v>
      </c>
      <c r="D78" t="s">
        <v>172</v>
      </c>
      <c r="E78" t="s">
        <v>175</v>
      </c>
      <c r="F78" t="s">
        <v>233</v>
      </c>
      <c r="G78" t="s">
        <v>169</v>
      </c>
      <c r="H78">
        <v>478</v>
      </c>
      <c r="I78" s="34">
        <f>+POWER_Regional_Daily_20150101_20190305_c11b3312[[#This Row],[Column8]]/100</f>
        <v>4.78</v>
      </c>
      <c r="J78" s="34"/>
    </row>
    <row r="79" spans="1:10" x14ac:dyDescent="0.25">
      <c r="A79" s="34" t="s">
        <v>164</v>
      </c>
      <c r="B79" s="34" t="s">
        <v>165</v>
      </c>
      <c r="C79" t="s">
        <v>166</v>
      </c>
      <c r="D79" t="s">
        <v>172</v>
      </c>
      <c r="E79" t="s">
        <v>177</v>
      </c>
      <c r="F79" t="s">
        <v>225</v>
      </c>
      <c r="G79" t="s">
        <v>169</v>
      </c>
      <c r="H79">
        <v>310</v>
      </c>
      <c r="I79" s="34">
        <f>+POWER_Regional_Daily_20150101_20190305_c11b3312[[#This Row],[Column8]]/100</f>
        <v>3.1</v>
      </c>
      <c r="J79" s="34"/>
    </row>
    <row r="80" spans="1:10" x14ac:dyDescent="0.25">
      <c r="A80" s="34" t="s">
        <v>164</v>
      </c>
      <c r="B80" s="34" t="s">
        <v>165</v>
      </c>
      <c r="C80" t="s">
        <v>166</v>
      </c>
      <c r="D80" t="s">
        <v>172</v>
      </c>
      <c r="E80" t="s">
        <v>178</v>
      </c>
      <c r="F80" t="s">
        <v>195</v>
      </c>
      <c r="G80" t="s">
        <v>169</v>
      </c>
      <c r="H80">
        <v>480</v>
      </c>
      <c r="I80" s="34">
        <f>+POWER_Regional_Daily_20150101_20190305_c11b3312[[#This Row],[Column8]]/100</f>
        <v>4.8</v>
      </c>
      <c r="J80" s="34"/>
    </row>
    <row r="81" spans="1:10" x14ac:dyDescent="0.25">
      <c r="A81" s="34" t="s">
        <v>164</v>
      </c>
      <c r="B81" s="34" t="s">
        <v>165</v>
      </c>
      <c r="C81" t="s">
        <v>166</v>
      </c>
      <c r="D81" t="s">
        <v>172</v>
      </c>
      <c r="E81" t="s">
        <v>180</v>
      </c>
      <c r="F81" t="s">
        <v>189</v>
      </c>
      <c r="G81" t="s">
        <v>265</v>
      </c>
      <c r="H81">
        <v>626</v>
      </c>
      <c r="I81" s="34">
        <f>+POWER_Regional_Daily_20150101_20190305_c11b3312[[#This Row],[Column8]]/100</f>
        <v>6.26</v>
      </c>
      <c r="J81" s="34"/>
    </row>
    <row r="82" spans="1:10" x14ac:dyDescent="0.25">
      <c r="A82" s="34" t="s">
        <v>164</v>
      </c>
      <c r="B82" s="34" t="s">
        <v>165</v>
      </c>
      <c r="C82" t="s">
        <v>166</v>
      </c>
      <c r="D82" t="s">
        <v>172</v>
      </c>
      <c r="E82" t="s">
        <v>182</v>
      </c>
      <c r="F82" t="s">
        <v>231</v>
      </c>
      <c r="G82" t="s">
        <v>169</v>
      </c>
      <c r="H82">
        <v>507</v>
      </c>
      <c r="I82" s="34">
        <f>+POWER_Regional_Daily_20150101_20190305_c11b3312[[#This Row],[Column8]]/100</f>
        <v>5.07</v>
      </c>
      <c r="J82" s="34"/>
    </row>
    <row r="83" spans="1:10" x14ac:dyDescent="0.25">
      <c r="A83" s="34" t="s">
        <v>164</v>
      </c>
      <c r="B83" s="34" t="s">
        <v>165</v>
      </c>
      <c r="C83" t="s">
        <v>166</v>
      </c>
      <c r="D83" t="s">
        <v>172</v>
      </c>
      <c r="E83" t="s">
        <v>184</v>
      </c>
      <c r="F83" t="s">
        <v>181</v>
      </c>
      <c r="G83" t="s">
        <v>169</v>
      </c>
      <c r="H83">
        <v>578</v>
      </c>
      <c r="I83" s="34">
        <f>+POWER_Regional_Daily_20150101_20190305_c11b3312[[#This Row],[Column8]]/100</f>
        <v>5.78</v>
      </c>
      <c r="J83" s="34"/>
    </row>
    <row r="84" spans="1:10" x14ac:dyDescent="0.25">
      <c r="A84" s="34" t="s">
        <v>164</v>
      </c>
      <c r="B84" s="34" t="s">
        <v>165</v>
      </c>
      <c r="C84" t="s">
        <v>166</v>
      </c>
      <c r="D84" t="s">
        <v>172</v>
      </c>
      <c r="E84" t="s">
        <v>186</v>
      </c>
      <c r="F84" t="s">
        <v>222</v>
      </c>
      <c r="G84" t="s">
        <v>169</v>
      </c>
      <c r="H84">
        <v>554</v>
      </c>
      <c r="I84" s="34">
        <f>+POWER_Regional_Daily_20150101_20190305_c11b3312[[#This Row],[Column8]]/100</f>
        <v>5.54</v>
      </c>
      <c r="J84" s="34"/>
    </row>
    <row r="85" spans="1:10" x14ac:dyDescent="0.25">
      <c r="A85" s="34" t="s">
        <v>164</v>
      </c>
      <c r="B85" s="34" t="s">
        <v>165</v>
      </c>
      <c r="C85" t="s">
        <v>166</v>
      </c>
      <c r="D85" t="s">
        <v>172</v>
      </c>
      <c r="E85" t="s">
        <v>188</v>
      </c>
      <c r="F85" t="s">
        <v>232</v>
      </c>
      <c r="G85" t="s">
        <v>169</v>
      </c>
      <c r="H85">
        <v>615</v>
      </c>
      <c r="I85" s="34">
        <f>+POWER_Regional_Daily_20150101_20190305_c11b3312[[#This Row],[Column8]]/100</f>
        <v>6.15</v>
      </c>
      <c r="J85" s="34"/>
    </row>
    <row r="86" spans="1:10" x14ac:dyDescent="0.25">
      <c r="A86" s="34" t="s">
        <v>164</v>
      </c>
      <c r="B86" s="34" t="s">
        <v>165</v>
      </c>
      <c r="C86" t="s">
        <v>166</v>
      </c>
      <c r="D86" t="s">
        <v>172</v>
      </c>
      <c r="E86" t="s">
        <v>190</v>
      </c>
      <c r="F86" t="s">
        <v>256</v>
      </c>
      <c r="G86" t="s">
        <v>169</v>
      </c>
      <c r="H86">
        <v>244</v>
      </c>
      <c r="I86" s="34">
        <f>+POWER_Regional_Daily_20150101_20190305_c11b3312[[#This Row],[Column8]]/100</f>
        <v>2.44</v>
      </c>
      <c r="J86" s="34"/>
    </row>
    <row r="87" spans="1:10" x14ac:dyDescent="0.25">
      <c r="A87" s="34" t="s">
        <v>164</v>
      </c>
      <c r="B87" s="34" t="s">
        <v>165</v>
      </c>
      <c r="C87" t="s">
        <v>166</v>
      </c>
      <c r="D87" t="s">
        <v>172</v>
      </c>
      <c r="E87" t="s">
        <v>192</v>
      </c>
      <c r="F87" t="s">
        <v>252</v>
      </c>
      <c r="G87" t="s">
        <v>169</v>
      </c>
      <c r="H87">
        <v>245</v>
      </c>
      <c r="I87" s="34">
        <f>+POWER_Regional_Daily_20150101_20190305_c11b3312[[#This Row],[Column8]]/100</f>
        <v>2.4500000000000002</v>
      </c>
      <c r="J87" s="34"/>
    </row>
    <row r="88" spans="1:10" x14ac:dyDescent="0.25">
      <c r="A88" s="34" t="s">
        <v>164</v>
      </c>
      <c r="B88" s="34" t="s">
        <v>165</v>
      </c>
      <c r="C88" t="s">
        <v>166</v>
      </c>
      <c r="D88" t="s">
        <v>172</v>
      </c>
      <c r="E88" t="s">
        <v>194</v>
      </c>
      <c r="F88" t="s">
        <v>195</v>
      </c>
      <c r="G88" t="s">
        <v>169</v>
      </c>
      <c r="H88">
        <v>485</v>
      </c>
      <c r="I88" s="34">
        <f>+POWER_Regional_Daily_20150101_20190305_c11b3312[[#This Row],[Column8]]/100</f>
        <v>4.8499999999999996</v>
      </c>
      <c r="J88" s="34"/>
    </row>
    <row r="89" spans="1:10" x14ac:dyDescent="0.25">
      <c r="A89" s="34" t="s">
        <v>164</v>
      </c>
      <c r="B89" s="34" t="s">
        <v>165</v>
      </c>
      <c r="C89" t="s">
        <v>166</v>
      </c>
      <c r="D89" t="s">
        <v>172</v>
      </c>
      <c r="E89" t="s">
        <v>196</v>
      </c>
      <c r="F89" t="s">
        <v>187</v>
      </c>
      <c r="G89" t="s">
        <v>169</v>
      </c>
      <c r="H89">
        <v>-999</v>
      </c>
      <c r="I89" s="34">
        <f>+POWER_Regional_Daily_20150101_20190305_c11b3312[[#This Row],[Column8]]/100</f>
        <v>-9.99</v>
      </c>
      <c r="J89" s="34"/>
    </row>
    <row r="90" spans="1:10" x14ac:dyDescent="0.25">
      <c r="A90" s="34" t="s">
        <v>164</v>
      </c>
      <c r="B90" s="34" t="s">
        <v>165</v>
      </c>
      <c r="C90" t="s">
        <v>166</v>
      </c>
      <c r="D90" t="s">
        <v>172</v>
      </c>
      <c r="E90" t="s">
        <v>198</v>
      </c>
      <c r="F90" t="s">
        <v>193</v>
      </c>
      <c r="G90" t="s">
        <v>169</v>
      </c>
      <c r="H90">
        <v>419</v>
      </c>
      <c r="I90" s="34">
        <f>+POWER_Regional_Daily_20150101_20190305_c11b3312[[#This Row],[Column8]]/100</f>
        <v>4.1900000000000004</v>
      </c>
      <c r="J90" s="34"/>
    </row>
    <row r="91" spans="1:10" x14ac:dyDescent="0.25">
      <c r="A91" s="34" t="s">
        <v>164</v>
      </c>
      <c r="B91" s="34" t="s">
        <v>165</v>
      </c>
      <c r="C91" t="s">
        <v>166</v>
      </c>
      <c r="D91" t="s">
        <v>172</v>
      </c>
      <c r="E91" t="s">
        <v>199</v>
      </c>
      <c r="F91" t="s">
        <v>237</v>
      </c>
      <c r="G91" t="s">
        <v>169</v>
      </c>
      <c r="H91">
        <v>281</v>
      </c>
      <c r="I91" s="34">
        <f>+POWER_Regional_Daily_20150101_20190305_c11b3312[[#This Row],[Column8]]/100</f>
        <v>2.81</v>
      </c>
      <c r="J91" s="34"/>
    </row>
    <row r="92" spans="1:10" x14ac:dyDescent="0.25">
      <c r="A92" s="34" t="s">
        <v>164</v>
      </c>
      <c r="B92" s="34" t="s">
        <v>165</v>
      </c>
      <c r="C92" t="s">
        <v>166</v>
      </c>
      <c r="D92" t="s">
        <v>172</v>
      </c>
      <c r="E92" t="s">
        <v>200</v>
      </c>
      <c r="F92" t="s">
        <v>266</v>
      </c>
      <c r="G92" t="s">
        <v>169</v>
      </c>
      <c r="H92">
        <v>149</v>
      </c>
      <c r="I92" s="34">
        <f>+POWER_Regional_Daily_20150101_20190305_c11b3312[[#This Row],[Column8]]/100</f>
        <v>1.49</v>
      </c>
      <c r="J92" s="34"/>
    </row>
    <row r="93" spans="1:10" x14ac:dyDescent="0.25">
      <c r="A93" s="34" t="s">
        <v>164</v>
      </c>
      <c r="B93" s="34" t="s">
        <v>165</v>
      </c>
      <c r="C93" t="s">
        <v>166</v>
      </c>
      <c r="D93" t="s">
        <v>172</v>
      </c>
      <c r="E93" t="s">
        <v>202</v>
      </c>
      <c r="F93" t="s">
        <v>246</v>
      </c>
      <c r="G93" t="s">
        <v>169</v>
      </c>
      <c r="H93">
        <v>399</v>
      </c>
      <c r="I93" s="34">
        <f>+POWER_Regional_Daily_20150101_20190305_c11b3312[[#This Row],[Column8]]/100</f>
        <v>3.99</v>
      </c>
      <c r="J93" s="34"/>
    </row>
    <row r="94" spans="1:10" x14ac:dyDescent="0.25">
      <c r="A94" s="34" t="s">
        <v>164</v>
      </c>
      <c r="B94" s="34" t="s">
        <v>165</v>
      </c>
      <c r="C94" t="s">
        <v>166</v>
      </c>
      <c r="D94" t="s">
        <v>172</v>
      </c>
      <c r="E94" t="s">
        <v>203</v>
      </c>
      <c r="F94" t="s">
        <v>211</v>
      </c>
      <c r="G94" t="s">
        <v>169</v>
      </c>
      <c r="H94">
        <v>433</v>
      </c>
      <c r="I94" s="34">
        <f>+POWER_Regional_Daily_20150101_20190305_c11b3312[[#This Row],[Column8]]/100</f>
        <v>4.33</v>
      </c>
      <c r="J94" s="34"/>
    </row>
    <row r="95" spans="1:10" x14ac:dyDescent="0.25">
      <c r="A95" s="34" t="s">
        <v>164</v>
      </c>
      <c r="B95" s="34" t="s">
        <v>165</v>
      </c>
      <c r="C95" t="s">
        <v>166</v>
      </c>
      <c r="D95" t="s">
        <v>172</v>
      </c>
      <c r="E95" t="s">
        <v>205</v>
      </c>
      <c r="F95" t="s">
        <v>206</v>
      </c>
      <c r="G95" t="s">
        <v>169</v>
      </c>
      <c r="H95">
        <v>404</v>
      </c>
      <c r="I95" s="34">
        <f>+POWER_Regional_Daily_20150101_20190305_c11b3312[[#This Row],[Column8]]/100</f>
        <v>4.04</v>
      </c>
      <c r="J95" s="34"/>
    </row>
    <row r="96" spans="1:10" x14ac:dyDescent="0.25">
      <c r="A96" s="34" t="s">
        <v>164</v>
      </c>
      <c r="B96" s="34" t="s">
        <v>165</v>
      </c>
      <c r="C96" t="s">
        <v>166</v>
      </c>
      <c r="D96" t="s">
        <v>172</v>
      </c>
      <c r="E96" t="s">
        <v>207</v>
      </c>
      <c r="F96" t="s">
        <v>222</v>
      </c>
      <c r="G96" t="s">
        <v>169</v>
      </c>
      <c r="H96">
        <v>558</v>
      </c>
      <c r="I96" s="34">
        <f>+POWER_Regional_Daily_20150101_20190305_c11b3312[[#This Row],[Column8]]/100</f>
        <v>5.58</v>
      </c>
      <c r="J96" s="34"/>
    </row>
    <row r="97" spans="1:10" x14ac:dyDescent="0.25">
      <c r="A97" s="34" t="s">
        <v>164</v>
      </c>
      <c r="B97" s="34" t="s">
        <v>165</v>
      </c>
      <c r="C97" t="s">
        <v>166</v>
      </c>
      <c r="D97" t="s">
        <v>172</v>
      </c>
      <c r="E97" t="s">
        <v>208</v>
      </c>
      <c r="F97" t="s">
        <v>224</v>
      </c>
      <c r="G97" t="s">
        <v>169</v>
      </c>
      <c r="H97">
        <v>481</v>
      </c>
      <c r="I97" s="34">
        <f>+POWER_Regional_Daily_20150101_20190305_c11b3312[[#This Row],[Column8]]/100</f>
        <v>4.8099999999999996</v>
      </c>
      <c r="J97" s="34"/>
    </row>
    <row r="98" spans="1:10" x14ac:dyDescent="0.25">
      <c r="A98" s="34" t="s">
        <v>164</v>
      </c>
      <c r="B98" s="34" t="s">
        <v>165</v>
      </c>
      <c r="C98" t="s">
        <v>166</v>
      </c>
      <c r="D98" t="s">
        <v>172</v>
      </c>
      <c r="E98" t="s">
        <v>210</v>
      </c>
      <c r="F98" t="s">
        <v>204</v>
      </c>
      <c r="G98" t="s">
        <v>169</v>
      </c>
      <c r="H98">
        <v>457</v>
      </c>
      <c r="I98" s="34">
        <f>+POWER_Regional_Daily_20150101_20190305_c11b3312[[#This Row],[Column8]]/100</f>
        <v>4.57</v>
      </c>
      <c r="J98" s="34"/>
    </row>
    <row r="99" spans="1:10" x14ac:dyDescent="0.25">
      <c r="A99" s="34" t="s">
        <v>164</v>
      </c>
      <c r="B99" s="34" t="s">
        <v>165</v>
      </c>
      <c r="C99" t="s">
        <v>166</v>
      </c>
      <c r="D99" t="s">
        <v>172</v>
      </c>
      <c r="E99" t="s">
        <v>212</v>
      </c>
      <c r="F99" t="s">
        <v>223</v>
      </c>
      <c r="G99" t="s">
        <v>169</v>
      </c>
      <c r="H99">
        <v>516</v>
      </c>
      <c r="I99" s="34">
        <f>+POWER_Regional_Daily_20150101_20190305_c11b3312[[#This Row],[Column8]]/100</f>
        <v>5.16</v>
      </c>
      <c r="J99" s="34"/>
    </row>
    <row r="100" spans="1:10" x14ac:dyDescent="0.25">
      <c r="A100" s="34" t="s">
        <v>164</v>
      </c>
      <c r="B100" s="34" t="s">
        <v>165</v>
      </c>
      <c r="C100" t="s">
        <v>166</v>
      </c>
      <c r="D100" t="s">
        <v>172</v>
      </c>
      <c r="E100" t="s">
        <v>214</v>
      </c>
      <c r="F100" t="s">
        <v>224</v>
      </c>
      <c r="G100" t="s">
        <v>169</v>
      </c>
      <c r="H100">
        <v>472</v>
      </c>
      <c r="I100" s="34">
        <f>+POWER_Regional_Daily_20150101_20190305_c11b3312[[#This Row],[Column8]]/100</f>
        <v>4.72</v>
      </c>
      <c r="J100" s="34"/>
    </row>
    <row r="101" spans="1:10" x14ac:dyDescent="0.25">
      <c r="A101" s="34" t="s">
        <v>164</v>
      </c>
      <c r="B101" s="34" t="s">
        <v>165</v>
      </c>
      <c r="C101" t="s">
        <v>166</v>
      </c>
      <c r="D101" t="s">
        <v>172</v>
      </c>
      <c r="E101" t="s">
        <v>215</v>
      </c>
      <c r="F101" t="s">
        <v>191</v>
      </c>
      <c r="G101" t="s">
        <v>169</v>
      </c>
      <c r="H101">
        <v>355</v>
      </c>
      <c r="I101" s="34">
        <f>+POWER_Regional_Daily_20150101_20190305_c11b3312[[#This Row],[Column8]]/100</f>
        <v>3.55</v>
      </c>
      <c r="J101" s="34"/>
    </row>
    <row r="102" spans="1:10" x14ac:dyDescent="0.25">
      <c r="A102" s="34" t="s">
        <v>164</v>
      </c>
      <c r="B102" s="34" t="s">
        <v>165</v>
      </c>
      <c r="C102" t="s">
        <v>166</v>
      </c>
      <c r="D102" t="s">
        <v>172</v>
      </c>
      <c r="E102" t="s">
        <v>217</v>
      </c>
      <c r="F102" t="s">
        <v>239</v>
      </c>
      <c r="G102" t="s">
        <v>169</v>
      </c>
      <c r="H102">
        <v>377</v>
      </c>
      <c r="I102" s="34">
        <f>+POWER_Regional_Daily_20150101_20190305_c11b3312[[#This Row],[Column8]]/100</f>
        <v>3.77</v>
      </c>
      <c r="J102" s="34"/>
    </row>
    <row r="103" spans="1:10" x14ac:dyDescent="0.25">
      <c r="A103" s="34" t="s">
        <v>164</v>
      </c>
      <c r="B103" s="34" t="s">
        <v>165</v>
      </c>
      <c r="C103" t="s">
        <v>166</v>
      </c>
      <c r="D103" t="s">
        <v>172</v>
      </c>
      <c r="E103" t="s">
        <v>219</v>
      </c>
      <c r="F103" t="s">
        <v>235</v>
      </c>
      <c r="G103" t="s">
        <v>169</v>
      </c>
      <c r="H103">
        <v>516</v>
      </c>
      <c r="I103" s="34">
        <f>+POWER_Regional_Daily_20150101_20190305_c11b3312[[#This Row],[Column8]]/100</f>
        <v>5.16</v>
      </c>
      <c r="J103" s="34"/>
    </row>
    <row r="104" spans="1:10" x14ac:dyDescent="0.25">
      <c r="A104" s="34" t="s">
        <v>164</v>
      </c>
      <c r="B104" s="34" t="s">
        <v>165</v>
      </c>
      <c r="C104" t="s">
        <v>166</v>
      </c>
      <c r="D104" t="s">
        <v>172</v>
      </c>
      <c r="E104" t="s">
        <v>220</v>
      </c>
      <c r="F104" t="s">
        <v>193</v>
      </c>
      <c r="G104" t="s">
        <v>169</v>
      </c>
      <c r="H104">
        <v>417</v>
      </c>
      <c r="I104" s="34">
        <f>+POWER_Regional_Daily_20150101_20190305_c11b3312[[#This Row],[Column8]]/100</f>
        <v>4.17</v>
      </c>
      <c r="J104" s="34"/>
    </row>
    <row r="105" spans="1:10" x14ac:dyDescent="0.25">
      <c r="A105" s="34" t="s">
        <v>164</v>
      </c>
      <c r="B105" s="34" t="s">
        <v>165</v>
      </c>
      <c r="C105" t="s">
        <v>166</v>
      </c>
      <c r="D105" t="s">
        <v>174</v>
      </c>
      <c r="E105" t="s">
        <v>167</v>
      </c>
      <c r="F105" t="s">
        <v>187</v>
      </c>
      <c r="G105" t="s">
        <v>169</v>
      </c>
      <c r="H105">
        <v>-999</v>
      </c>
      <c r="I105" s="34">
        <f>+POWER_Regional_Daily_20150101_20190305_c11b3312[[#This Row],[Column8]]/100</f>
        <v>-9.99</v>
      </c>
      <c r="J105" s="34"/>
    </row>
    <row r="106" spans="1:10" x14ac:dyDescent="0.25">
      <c r="A106" s="34" t="s">
        <v>164</v>
      </c>
      <c r="B106" s="34" t="s">
        <v>165</v>
      </c>
      <c r="C106" t="s">
        <v>166</v>
      </c>
      <c r="D106" t="s">
        <v>174</v>
      </c>
      <c r="E106" t="s">
        <v>170</v>
      </c>
      <c r="F106" t="s">
        <v>223</v>
      </c>
      <c r="G106" t="s">
        <v>169</v>
      </c>
      <c r="H106">
        <v>509</v>
      </c>
      <c r="I106" s="34">
        <f>+POWER_Regional_Daily_20150101_20190305_c11b3312[[#This Row],[Column8]]/100</f>
        <v>5.09</v>
      </c>
      <c r="J106" s="34"/>
    </row>
    <row r="107" spans="1:10" x14ac:dyDescent="0.25">
      <c r="A107" s="34" t="s">
        <v>164</v>
      </c>
      <c r="B107" s="34" t="s">
        <v>165</v>
      </c>
      <c r="C107" t="s">
        <v>166</v>
      </c>
      <c r="D107" t="s">
        <v>174</v>
      </c>
      <c r="E107" t="s">
        <v>172</v>
      </c>
      <c r="F107" t="s">
        <v>237</v>
      </c>
      <c r="G107" t="s">
        <v>169</v>
      </c>
      <c r="H107">
        <v>276</v>
      </c>
      <c r="I107" s="34">
        <f>+POWER_Regional_Daily_20150101_20190305_c11b3312[[#This Row],[Column8]]/100</f>
        <v>2.76</v>
      </c>
      <c r="J107" s="34"/>
    </row>
    <row r="108" spans="1:10" x14ac:dyDescent="0.25">
      <c r="A108" s="34" t="s">
        <v>164</v>
      </c>
      <c r="B108" s="34" t="s">
        <v>165</v>
      </c>
      <c r="C108" t="s">
        <v>166</v>
      </c>
      <c r="D108" t="s">
        <v>174</v>
      </c>
      <c r="E108" t="s">
        <v>174</v>
      </c>
      <c r="F108" t="s">
        <v>195</v>
      </c>
      <c r="G108" t="s">
        <v>169</v>
      </c>
      <c r="H108">
        <v>486</v>
      </c>
      <c r="I108" s="34">
        <f>+POWER_Regional_Daily_20150101_20190305_c11b3312[[#This Row],[Column8]]/100</f>
        <v>4.8600000000000003</v>
      </c>
      <c r="J108" s="34"/>
    </row>
    <row r="109" spans="1:10" x14ac:dyDescent="0.25">
      <c r="A109" s="34" t="s">
        <v>164</v>
      </c>
      <c r="B109" s="34" t="s">
        <v>165</v>
      </c>
      <c r="C109" t="s">
        <v>166</v>
      </c>
      <c r="D109" t="s">
        <v>174</v>
      </c>
      <c r="E109" t="s">
        <v>175</v>
      </c>
      <c r="F109" t="s">
        <v>229</v>
      </c>
      <c r="G109" t="s">
        <v>169</v>
      </c>
      <c r="H109">
        <v>372</v>
      </c>
      <c r="I109" s="34">
        <f>+POWER_Regional_Daily_20150101_20190305_c11b3312[[#This Row],[Column8]]/100</f>
        <v>3.72</v>
      </c>
      <c r="J109" s="34"/>
    </row>
    <row r="110" spans="1:10" x14ac:dyDescent="0.25">
      <c r="A110" s="34" t="s">
        <v>164</v>
      </c>
      <c r="B110" s="34" t="s">
        <v>165</v>
      </c>
      <c r="C110" t="s">
        <v>166</v>
      </c>
      <c r="D110" t="s">
        <v>174</v>
      </c>
      <c r="E110" t="s">
        <v>177</v>
      </c>
      <c r="F110" t="s">
        <v>235</v>
      </c>
      <c r="G110" t="s">
        <v>169</v>
      </c>
      <c r="H110">
        <v>516</v>
      </c>
      <c r="I110" s="34">
        <f>+POWER_Regional_Daily_20150101_20190305_c11b3312[[#This Row],[Column8]]/100</f>
        <v>5.16</v>
      </c>
      <c r="J110" s="34"/>
    </row>
    <row r="111" spans="1:10" x14ac:dyDescent="0.25">
      <c r="A111" s="34" t="s">
        <v>164</v>
      </c>
      <c r="B111" s="34" t="s">
        <v>165</v>
      </c>
      <c r="C111" t="s">
        <v>166</v>
      </c>
      <c r="D111" t="s">
        <v>174</v>
      </c>
      <c r="E111" t="s">
        <v>178</v>
      </c>
      <c r="F111" t="s">
        <v>204</v>
      </c>
      <c r="G111" t="s">
        <v>169</v>
      </c>
      <c r="H111">
        <v>459</v>
      </c>
      <c r="I111" s="34">
        <f>+POWER_Regional_Daily_20150101_20190305_c11b3312[[#This Row],[Column8]]/100</f>
        <v>4.59</v>
      </c>
      <c r="J111" s="34"/>
    </row>
    <row r="112" spans="1:10" x14ac:dyDescent="0.25">
      <c r="A112" s="34" t="s">
        <v>164</v>
      </c>
      <c r="B112" s="34" t="s">
        <v>165</v>
      </c>
      <c r="C112" t="s">
        <v>166</v>
      </c>
      <c r="D112" t="s">
        <v>174</v>
      </c>
      <c r="E112" t="s">
        <v>180</v>
      </c>
      <c r="F112" t="s">
        <v>204</v>
      </c>
      <c r="G112" t="s">
        <v>169</v>
      </c>
      <c r="H112">
        <v>444</v>
      </c>
      <c r="I112" s="34">
        <f>+POWER_Regional_Daily_20150101_20190305_c11b3312[[#This Row],[Column8]]/100</f>
        <v>4.4400000000000004</v>
      </c>
      <c r="J112" s="34"/>
    </row>
    <row r="113" spans="1:10" x14ac:dyDescent="0.25">
      <c r="A113" s="34" t="s">
        <v>164</v>
      </c>
      <c r="B113" s="34" t="s">
        <v>165</v>
      </c>
      <c r="C113" t="s">
        <v>166</v>
      </c>
      <c r="D113" t="s">
        <v>174</v>
      </c>
      <c r="E113" t="s">
        <v>182</v>
      </c>
      <c r="F113" t="s">
        <v>236</v>
      </c>
      <c r="G113" t="s">
        <v>169</v>
      </c>
      <c r="H113">
        <v>552</v>
      </c>
      <c r="I113" s="34">
        <f>+POWER_Regional_Daily_20150101_20190305_c11b3312[[#This Row],[Column8]]/100</f>
        <v>5.52</v>
      </c>
      <c r="J113" s="34"/>
    </row>
    <row r="114" spans="1:10" x14ac:dyDescent="0.25">
      <c r="A114" s="34" t="s">
        <v>164</v>
      </c>
      <c r="B114" s="34" t="s">
        <v>165</v>
      </c>
      <c r="C114" t="s">
        <v>166</v>
      </c>
      <c r="D114" t="s">
        <v>174</v>
      </c>
      <c r="E114" t="s">
        <v>184</v>
      </c>
      <c r="F114" t="s">
        <v>231</v>
      </c>
      <c r="G114" t="s">
        <v>169</v>
      </c>
      <c r="H114">
        <v>509</v>
      </c>
      <c r="I114" s="34">
        <f>+POWER_Regional_Daily_20150101_20190305_c11b3312[[#This Row],[Column8]]/100</f>
        <v>5.09</v>
      </c>
      <c r="J114" s="34"/>
    </row>
    <row r="115" spans="1:10" x14ac:dyDescent="0.25">
      <c r="A115" s="34" t="s">
        <v>164</v>
      </c>
      <c r="B115" s="34" t="s">
        <v>165</v>
      </c>
      <c r="C115" t="s">
        <v>166</v>
      </c>
      <c r="D115" t="s">
        <v>174</v>
      </c>
      <c r="E115" t="s">
        <v>186</v>
      </c>
      <c r="F115" t="s">
        <v>237</v>
      </c>
      <c r="G115" t="s">
        <v>169</v>
      </c>
      <c r="H115">
        <v>276</v>
      </c>
      <c r="I115" s="34">
        <f>+POWER_Regional_Daily_20150101_20190305_c11b3312[[#This Row],[Column8]]/100</f>
        <v>2.76</v>
      </c>
      <c r="J115" s="34"/>
    </row>
    <row r="116" spans="1:10" x14ac:dyDescent="0.25">
      <c r="A116" s="34" t="s">
        <v>164</v>
      </c>
      <c r="B116" s="34" t="s">
        <v>165</v>
      </c>
      <c r="C116" t="s">
        <v>166</v>
      </c>
      <c r="D116" t="s">
        <v>174</v>
      </c>
      <c r="E116" t="s">
        <v>188</v>
      </c>
      <c r="F116" t="s">
        <v>250</v>
      </c>
      <c r="G116" t="s">
        <v>169</v>
      </c>
      <c r="H116">
        <v>666</v>
      </c>
      <c r="I116" s="34">
        <f>+POWER_Regional_Daily_20150101_20190305_c11b3312[[#This Row],[Column8]]/100</f>
        <v>6.66</v>
      </c>
      <c r="J116" s="34"/>
    </row>
    <row r="117" spans="1:10" x14ac:dyDescent="0.25">
      <c r="A117" s="34" t="s">
        <v>164</v>
      </c>
      <c r="B117" s="34" t="s">
        <v>165</v>
      </c>
      <c r="C117" t="s">
        <v>166</v>
      </c>
      <c r="D117" t="s">
        <v>174</v>
      </c>
      <c r="E117" t="s">
        <v>190</v>
      </c>
      <c r="F117" t="s">
        <v>195</v>
      </c>
      <c r="G117" t="s">
        <v>169</v>
      </c>
      <c r="H117">
        <v>486</v>
      </c>
      <c r="I117" s="34">
        <f>+POWER_Regional_Daily_20150101_20190305_c11b3312[[#This Row],[Column8]]/100</f>
        <v>4.8600000000000003</v>
      </c>
      <c r="J117" s="34"/>
    </row>
    <row r="118" spans="1:10" x14ac:dyDescent="0.25">
      <c r="A118" s="34" t="s">
        <v>164</v>
      </c>
      <c r="B118" s="34" t="s">
        <v>165</v>
      </c>
      <c r="C118" t="s">
        <v>166</v>
      </c>
      <c r="D118" t="s">
        <v>174</v>
      </c>
      <c r="E118" t="s">
        <v>192</v>
      </c>
      <c r="F118" t="s">
        <v>246</v>
      </c>
      <c r="G118" t="s">
        <v>169</v>
      </c>
      <c r="H118">
        <v>394</v>
      </c>
      <c r="I118" s="34">
        <f>+POWER_Regional_Daily_20150101_20190305_c11b3312[[#This Row],[Column8]]/100</f>
        <v>3.94</v>
      </c>
      <c r="J118" s="34"/>
    </row>
    <row r="119" spans="1:10" x14ac:dyDescent="0.25">
      <c r="A119" s="34" t="s">
        <v>164</v>
      </c>
      <c r="B119" s="34" t="s">
        <v>165</v>
      </c>
      <c r="C119" t="s">
        <v>166</v>
      </c>
      <c r="D119" t="s">
        <v>174</v>
      </c>
      <c r="E119" t="s">
        <v>194</v>
      </c>
      <c r="F119" t="s">
        <v>235</v>
      </c>
      <c r="G119" t="s">
        <v>169</v>
      </c>
      <c r="H119">
        <v>524</v>
      </c>
      <c r="I119" s="34">
        <f>+POWER_Regional_Daily_20150101_20190305_c11b3312[[#This Row],[Column8]]/100</f>
        <v>5.24</v>
      </c>
      <c r="J119" s="34"/>
    </row>
    <row r="120" spans="1:10" x14ac:dyDescent="0.25">
      <c r="A120" s="34" t="s">
        <v>164</v>
      </c>
      <c r="B120" s="34" t="s">
        <v>165</v>
      </c>
      <c r="C120" t="s">
        <v>166</v>
      </c>
      <c r="D120" t="s">
        <v>174</v>
      </c>
      <c r="E120" t="s">
        <v>196</v>
      </c>
      <c r="F120" t="s">
        <v>204</v>
      </c>
      <c r="G120" t="s">
        <v>169</v>
      </c>
      <c r="H120">
        <v>444</v>
      </c>
      <c r="I120" s="34">
        <f>+POWER_Regional_Daily_20150101_20190305_c11b3312[[#This Row],[Column8]]/100</f>
        <v>4.4400000000000004</v>
      </c>
      <c r="J120" s="34"/>
    </row>
    <row r="121" spans="1:10" x14ac:dyDescent="0.25">
      <c r="A121" s="34" t="s">
        <v>164</v>
      </c>
      <c r="B121" s="34" t="s">
        <v>165</v>
      </c>
      <c r="C121" t="s">
        <v>166</v>
      </c>
      <c r="D121" t="s">
        <v>174</v>
      </c>
      <c r="E121" t="s">
        <v>198</v>
      </c>
      <c r="F121" t="s">
        <v>187</v>
      </c>
      <c r="G121" t="s">
        <v>169</v>
      </c>
      <c r="H121">
        <v>-999</v>
      </c>
      <c r="I121" s="34">
        <f>+POWER_Regional_Daily_20150101_20190305_c11b3312[[#This Row],[Column8]]/100</f>
        <v>-9.99</v>
      </c>
      <c r="J121" s="34"/>
    </row>
    <row r="122" spans="1:10" x14ac:dyDescent="0.25">
      <c r="A122" s="34" t="s">
        <v>164</v>
      </c>
      <c r="B122" s="34" t="s">
        <v>165</v>
      </c>
      <c r="C122" t="s">
        <v>166</v>
      </c>
      <c r="D122" t="s">
        <v>174</v>
      </c>
      <c r="E122" t="s">
        <v>199</v>
      </c>
      <c r="F122" t="s">
        <v>233</v>
      </c>
      <c r="G122" t="s">
        <v>169</v>
      </c>
      <c r="H122">
        <v>485</v>
      </c>
      <c r="I122" s="34">
        <f>+POWER_Regional_Daily_20150101_20190305_c11b3312[[#This Row],[Column8]]/100</f>
        <v>4.8499999999999996</v>
      </c>
      <c r="J122" s="34"/>
    </row>
    <row r="123" spans="1:10" x14ac:dyDescent="0.25">
      <c r="A123" s="34" t="s">
        <v>164</v>
      </c>
      <c r="B123" s="34" t="s">
        <v>165</v>
      </c>
      <c r="C123" t="s">
        <v>166</v>
      </c>
      <c r="D123" t="s">
        <v>174</v>
      </c>
      <c r="E123" t="s">
        <v>200</v>
      </c>
      <c r="F123" t="s">
        <v>237</v>
      </c>
      <c r="G123" t="s">
        <v>169</v>
      </c>
      <c r="H123">
        <v>284</v>
      </c>
      <c r="I123" s="34">
        <f>+POWER_Regional_Daily_20150101_20190305_c11b3312[[#This Row],[Column8]]/100</f>
        <v>2.84</v>
      </c>
      <c r="J123" s="34"/>
    </row>
    <row r="124" spans="1:10" x14ac:dyDescent="0.25">
      <c r="A124" s="34" t="s">
        <v>164</v>
      </c>
      <c r="B124" s="34" t="s">
        <v>165</v>
      </c>
      <c r="C124" t="s">
        <v>166</v>
      </c>
      <c r="D124" t="s">
        <v>174</v>
      </c>
      <c r="E124" t="s">
        <v>202</v>
      </c>
      <c r="F124" t="s">
        <v>204</v>
      </c>
      <c r="G124" t="s">
        <v>169</v>
      </c>
      <c r="H124">
        <v>448</v>
      </c>
      <c r="I124" s="34">
        <f>+POWER_Regional_Daily_20150101_20190305_c11b3312[[#This Row],[Column8]]/100</f>
        <v>4.4800000000000004</v>
      </c>
      <c r="J124" s="34"/>
    </row>
    <row r="125" spans="1:10" x14ac:dyDescent="0.25">
      <c r="A125" s="34" t="s">
        <v>164</v>
      </c>
      <c r="B125" s="34" t="s">
        <v>165</v>
      </c>
      <c r="C125" t="s">
        <v>166</v>
      </c>
      <c r="D125" t="s">
        <v>174</v>
      </c>
      <c r="E125" t="s">
        <v>203</v>
      </c>
      <c r="F125" t="s">
        <v>209</v>
      </c>
      <c r="G125" t="s">
        <v>169</v>
      </c>
      <c r="H125">
        <v>526</v>
      </c>
      <c r="I125" s="34">
        <f>+POWER_Regional_Daily_20150101_20190305_c11b3312[[#This Row],[Column8]]/100</f>
        <v>5.26</v>
      </c>
      <c r="J125" s="34"/>
    </row>
    <row r="126" spans="1:10" x14ac:dyDescent="0.25">
      <c r="A126" s="34" t="s">
        <v>164</v>
      </c>
      <c r="B126" s="34" t="s">
        <v>165</v>
      </c>
      <c r="C126" t="s">
        <v>166</v>
      </c>
      <c r="D126" t="s">
        <v>174</v>
      </c>
      <c r="E126" t="s">
        <v>205</v>
      </c>
      <c r="F126" t="s">
        <v>236</v>
      </c>
      <c r="G126" t="s">
        <v>169</v>
      </c>
      <c r="H126">
        <v>539</v>
      </c>
      <c r="I126" s="34">
        <f>+POWER_Regional_Daily_20150101_20190305_c11b3312[[#This Row],[Column8]]/100</f>
        <v>5.39</v>
      </c>
      <c r="J126" s="34"/>
    </row>
    <row r="127" spans="1:10" x14ac:dyDescent="0.25">
      <c r="A127" s="34" t="s">
        <v>164</v>
      </c>
      <c r="B127" s="34" t="s">
        <v>165</v>
      </c>
      <c r="C127" t="s">
        <v>166</v>
      </c>
      <c r="D127" t="s">
        <v>174</v>
      </c>
      <c r="E127" t="s">
        <v>207</v>
      </c>
      <c r="F127" t="s">
        <v>189</v>
      </c>
      <c r="G127" t="s">
        <v>169</v>
      </c>
      <c r="H127">
        <v>601</v>
      </c>
      <c r="I127" s="34">
        <f>+POWER_Regional_Daily_20150101_20190305_c11b3312[[#This Row],[Column8]]/100</f>
        <v>6.01</v>
      </c>
      <c r="J127" s="34"/>
    </row>
    <row r="128" spans="1:10" x14ac:dyDescent="0.25">
      <c r="A128" s="34" t="s">
        <v>164</v>
      </c>
      <c r="B128" s="34" t="s">
        <v>165</v>
      </c>
      <c r="C128" t="s">
        <v>166</v>
      </c>
      <c r="D128" t="s">
        <v>174</v>
      </c>
      <c r="E128" t="s">
        <v>208</v>
      </c>
      <c r="F128" t="s">
        <v>231</v>
      </c>
      <c r="G128" t="s">
        <v>169</v>
      </c>
      <c r="H128">
        <v>501</v>
      </c>
      <c r="I128" s="34">
        <f>+POWER_Regional_Daily_20150101_20190305_c11b3312[[#This Row],[Column8]]/100</f>
        <v>5.01</v>
      </c>
      <c r="J128" s="34"/>
    </row>
    <row r="129" spans="1:10" x14ac:dyDescent="0.25">
      <c r="A129" s="34" t="s">
        <v>164</v>
      </c>
      <c r="B129" s="34" t="s">
        <v>165</v>
      </c>
      <c r="C129" t="s">
        <v>166</v>
      </c>
      <c r="D129" t="s">
        <v>174</v>
      </c>
      <c r="E129" t="s">
        <v>210</v>
      </c>
      <c r="F129" t="s">
        <v>242</v>
      </c>
      <c r="G129" t="s">
        <v>169</v>
      </c>
      <c r="H129">
        <v>258</v>
      </c>
      <c r="I129" s="34">
        <f>+POWER_Regional_Daily_20150101_20190305_c11b3312[[#This Row],[Column8]]/100</f>
        <v>2.58</v>
      </c>
      <c r="J129" s="34"/>
    </row>
    <row r="130" spans="1:10" x14ac:dyDescent="0.25">
      <c r="A130" s="34" t="s">
        <v>164</v>
      </c>
      <c r="B130" s="34" t="s">
        <v>165</v>
      </c>
      <c r="C130" t="s">
        <v>166</v>
      </c>
      <c r="D130" t="s">
        <v>174</v>
      </c>
      <c r="E130" t="s">
        <v>212</v>
      </c>
      <c r="F130" t="s">
        <v>231</v>
      </c>
      <c r="G130" t="s">
        <v>169</v>
      </c>
      <c r="H130">
        <v>492</v>
      </c>
      <c r="I130" s="34">
        <f>+POWER_Regional_Daily_20150101_20190305_c11b3312[[#This Row],[Column8]]/100</f>
        <v>4.92</v>
      </c>
      <c r="J130" s="34"/>
    </row>
    <row r="131" spans="1:10" x14ac:dyDescent="0.25">
      <c r="A131" s="34" t="s">
        <v>164</v>
      </c>
      <c r="B131" s="34" t="s">
        <v>165</v>
      </c>
      <c r="C131" t="s">
        <v>166</v>
      </c>
      <c r="D131" t="s">
        <v>174</v>
      </c>
      <c r="E131" t="s">
        <v>214</v>
      </c>
      <c r="F131" t="s">
        <v>250</v>
      </c>
      <c r="G131" t="s">
        <v>244</v>
      </c>
      <c r="H131">
        <v>671</v>
      </c>
      <c r="I131" s="34">
        <f>+POWER_Regional_Daily_20150101_20190305_c11b3312[[#This Row],[Column8]]/100</f>
        <v>6.71</v>
      </c>
      <c r="J131" s="34"/>
    </row>
    <row r="132" spans="1:10" x14ac:dyDescent="0.25">
      <c r="A132" s="34" t="s">
        <v>164</v>
      </c>
      <c r="B132" s="34" t="s">
        <v>165</v>
      </c>
      <c r="C132" t="s">
        <v>166</v>
      </c>
      <c r="D132" t="s">
        <v>174</v>
      </c>
      <c r="E132" t="s">
        <v>215</v>
      </c>
      <c r="F132" t="s">
        <v>236</v>
      </c>
      <c r="G132" t="s">
        <v>169</v>
      </c>
      <c r="H132">
        <v>530</v>
      </c>
      <c r="I132" s="34">
        <f>+POWER_Regional_Daily_20150101_20190305_c11b3312[[#This Row],[Column8]]/100</f>
        <v>5.3</v>
      </c>
      <c r="J132" s="34"/>
    </row>
    <row r="133" spans="1:10" x14ac:dyDescent="0.25">
      <c r="A133" s="34" t="s">
        <v>164</v>
      </c>
      <c r="B133" s="34" t="s">
        <v>165</v>
      </c>
      <c r="C133" t="s">
        <v>166</v>
      </c>
      <c r="D133" t="s">
        <v>174</v>
      </c>
      <c r="E133" t="s">
        <v>217</v>
      </c>
      <c r="F133" t="s">
        <v>232</v>
      </c>
      <c r="G133" t="s">
        <v>169</v>
      </c>
      <c r="H133">
        <v>606</v>
      </c>
      <c r="I133" s="34">
        <f>+POWER_Regional_Daily_20150101_20190305_c11b3312[[#This Row],[Column8]]/100</f>
        <v>6.06</v>
      </c>
      <c r="J133" s="34"/>
    </row>
    <row r="134" spans="1:10" x14ac:dyDescent="0.25">
      <c r="A134" s="34" t="s">
        <v>164</v>
      </c>
      <c r="B134" s="34" t="s">
        <v>165</v>
      </c>
      <c r="C134" t="s">
        <v>166</v>
      </c>
      <c r="D134" t="s">
        <v>174</v>
      </c>
      <c r="E134" t="s">
        <v>219</v>
      </c>
      <c r="F134" t="s">
        <v>230</v>
      </c>
      <c r="G134" t="s">
        <v>169</v>
      </c>
      <c r="H134">
        <v>376</v>
      </c>
      <c r="I134" s="34">
        <f>+POWER_Regional_Daily_20150101_20190305_c11b3312[[#This Row],[Column8]]/100</f>
        <v>3.76</v>
      </c>
      <c r="J134" s="34"/>
    </row>
    <row r="135" spans="1:10" x14ac:dyDescent="0.25">
      <c r="A135" s="34" t="s">
        <v>164</v>
      </c>
      <c r="B135" s="34" t="s">
        <v>165</v>
      </c>
      <c r="C135" t="s">
        <v>166</v>
      </c>
      <c r="D135" t="s">
        <v>175</v>
      </c>
      <c r="E135" t="s">
        <v>167</v>
      </c>
      <c r="F135" t="s">
        <v>236</v>
      </c>
      <c r="G135" t="s">
        <v>169</v>
      </c>
      <c r="H135">
        <v>540</v>
      </c>
      <c r="I135" s="34">
        <f>+POWER_Regional_Daily_20150101_20190305_c11b3312[[#This Row],[Column8]]/100</f>
        <v>5.4</v>
      </c>
      <c r="J135" s="34"/>
    </row>
    <row r="136" spans="1:10" x14ac:dyDescent="0.25">
      <c r="A136" s="34" t="s">
        <v>164</v>
      </c>
      <c r="B136" s="34" t="s">
        <v>165</v>
      </c>
      <c r="C136" t="s">
        <v>166</v>
      </c>
      <c r="D136" t="s">
        <v>175</v>
      </c>
      <c r="E136" t="s">
        <v>170</v>
      </c>
      <c r="F136" t="s">
        <v>201</v>
      </c>
      <c r="G136" t="s">
        <v>169</v>
      </c>
      <c r="H136">
        <v>538</v>
      </c>
      <c r="I136" s="34">
        <f>+POWER_Regional_Daily_20150101_20190305_c11b3312[[#This Row],[Column8]]/100</f>
        <v>5.38</v>
      </c>
      <c r="J136" s="34"/>
    </row>
    <row r="137" spans="1:10" x14ac:dyDescent="0.25">
      <c r="A137" s="34" t="s">
        <v>164</v>
      </c>
      <c r="B137" s="34" t="s">
        <v>165</v>
      </c>
      <c r="C137" t="s">
        <v>166</v>
      </c>
      <c r="D137" t="s">
        <v>175</v>
      </c>
      <c r="E137" t="s">
        <v>172</v>
      </c>
      <c r="F137" t="s">
        <v>187</v>
      </c>
      <c r="G137" t="s">
        <v>169</v>
      </c>
      <c r="H137">
        <v>-999</v>
      </c>
      <c r="I137" s="34">
        <f>+POWER_Regional_Daily_20150101_20190305_c11b3312[[#This Row],[Column8]]/100</f>
        <v>-9.99</v>
      </c>
      <c r="J137" s="34"/>
    </row>
    <row r="138" spans="1:10" x14ac:dyDescent="0.25">
      <c r="A138" s="34" t="s">
        <v>164</v>
      </c>
      <c r="B138" s="34" t="s">
        <v>165</v>
      </c>
      <c r="C138" t="s">
        <v>166</v>
      </c>
      <c r="D138" t="s">
        <v>175</v>
      </c>
      <c r="E138" t="s">
        <v>174</v>
      </c>
      <c r="F138" t="s">
        <v>201</v>
      </c>
      <c r="G138" t="s">
        <v>169</v>
      </c>
      <c r="H138">
        <v>542</v>
      </c>
      <c r="I138" s="34">
        <f>+POWER_Regional_Daily_20150101_20190305_c11b3312[[#This Row],[Column8]]/100</f>
        <v>5.42</v>
      </c>
      <c r="J138" s="34"/>
    </row>
    <row r="139" spans="1:10" x14ac:dyDescent="0.25">
      <c r="A139" s="34" t="s">
        <v>164</v>
      </c>
      <c r="B139" s="34" t="s">
        <v>165</v>
      </c>
      <c r="C139" t="s">
        <v>166</v>
      </c>
      <c r="D139" t="s">
        <v>175</v>
      </c>
      <c r="E139" t="s">
        <v>175</v>
      </c>
      <c r="F139" t="s">
        <v>168</v>
      </c>
      <c r="G139" t="s">
        <v>169</v>
      </c>
      <c r="H139">
        <v>629</v>
      </c>
      <c r="I139" s="34">
        <f>+POWER_Regional_Daily_20150101_20190305_c11b3312[[#This Row],[Column8]]/100</f>
        <v>6.29</v>
      </c>
      <c r="J139" s="34"/>
    </row>
    <row r="140" spans="1:10" x14ac:dyDescent="0.25">
      <c r="A140" s="34" t="s">
        <v>164</v>
      </c>
      <c r="B140" s="34" t="s">
        <v>165</v>
      </c>
      <c r="C140" t="s">
        <v>166</v>
      </c>
      <c r="D140" t="s">
        <v>175</v>
      </c>
      <c r="E140" t="s">
        <v>177</v>
      </c>
      <c r="F140" t="s">
        <v>235</v>
      </c>
      <c r="G140" t="s">
        <v>169</v>
      </c>
      <c r="H140">
        <v>500</v>
      </c>
      <c r="I140" s="34">
        <f>+POWER_Regional_Daily_20150101_20190305_c11b3312[[#This Row],[Column8]]/100</f>
        <v>5</v>
      </c>
      <c r="J140" s="34"/>
    </row>
    <row r="141" spans="1:10" x14ac:dyDescent="0.25">
      <c r="A141" s="34" t="s">
        <v>164</v>
      </c>
      <c r="B141" s="34" t="s">
        <v>165</v>
      </c>
      <c r="C141" t="s">
        <v>166</v>
      </c>
      <c r="D141" t="s">
        <v>175</v>
      </c>
      <c r="E141" t="s">
        <v>178</v>
      </c>
      <c r="F141" t="s">
        <v>168</v>
      </c>
      <c r="G141" t="s">
        <v>169</v>
      </c>
      <c r="H141">
        <v>649</v>
      </c>
      <c r="I141" s="34">
        <f>+POWER_Regional_Daily_20150101_20190305_c11b3312[[#This Row],[Column8]]/100</f>
        <v>6.49</v>
      </c>
      <c r="J141" s="34"/>
    </row>
    <row r="142" spans="1:10" x14ac:dyDescent="0.25">
      <c r="A142" s="34" t="s">
        <v>164</v>
      </c>
      <c r="B142" s="34" t="s">
        <v>165</v>
      </c>
      <c r="C142" t="s">
        <v>166</v>
      </c>
      <c r="D142" t="s">
        <v>175</v>
      </c>
      <c r="E142" t="s">
        <v>180</v>
      </c>
      <c r="F142" t="s">
        <v>185</v>
      </c>
      <c r="G142" t="s">
        <v>169</v>
      </c>
      <c r="H142">
        <v>609</v>
      </c>
      <c r="I142" s="34">
        <f>+POWER_Regional_Daily_20150101_20190305_c11b3312[[#This Row],[Column8]]/100</f>
        <v>6.09</v>
      </c>
      <c r="J142" s="34"/>
    </row>
    <row r="143" spans="1:10" x14ac:dyDescent="0.25">
      <c r="A143" s="34" t="s">
        <v>164</v>
      </c>
      <c r="B143" s="34" t="s">
        <v>165</v>
      </c>
      <c r="C143" t="s">
        <v>166</v>
      </c>
      <c r="D143" t="s">
        <v>175</v>
      </c>
      <c r="E143" t="s">
        <v>182</v>
      </c>
      <c r="F143" t="s">
        <v>231</v>
      </c>
      <c r="G143" t="s">
        <v>169</v>
      </c>
      <c r="H143">
        <v>486</v>
      </c>
      <c r="I143" s="34">
        <f>+POWER_Regional_Daily_20150101_20190305_c11b3312[[#This Row],[Column8]]/100</f>
        <v>4.8600000000000003</v>
      </c>
      <c r="J143" s="34"/>
    </row>
    <row r="144" spans="1:10" x14ac:dyDescent="0.25">
      <c r="A144" s="34" t="s">
        <v>164</v>
      </c>
      <c r="B144" s="34" t="s">
        <v>165</v>
      </c>
      <c r="C144" t="s">
        <v>166</v>
      </c>
      <c r="D144" t="s">
        <v>175</v>
      </c>
      <c r="E144" t="s">
        <v>184</v>
      </c>
      <c r="F144" t="s">
        <v>183</v>
      </c>
      <c r="G144" t="s">
        <v>169</v>
      </c>
      <c r="H144">
        <v>583</v>
      </c>
      <c r="I144" s="34">
        <f>+POWER_Regional_Daily_20150101_20190305_c11b3312[[#This Row],[Column8]]/100</f>
        <v>5.83</v>
      </c>
      <c r="J144" s="34"/>
    </row>
    <row r="145" spans="1:10" x14ac:dyDescent="0.25">
      <c r="A145" s="34" t="s">
        <v>164</v>
      </c>
      <c r="B145" s="34" t="s">
        <v>165</v>
      </c>
      <c r="C145" t="s">
        <v>166</v>
      </c>
      <c r="D145" t="s">
        <v>175</v>
      </c>
      <c r="E145" t="s">
        <v>186</v>
      </c>
      <c r="F145" t="s">
        <v>236</v>
      </c>
      <c r="G145" t="s">
        <v>169</v>
      </c>
      <c r="H145">
        <v>534</v>
      </c>
      <c r="I145" s="34">
        <f>+POWER_Regional_Daily_20150101_20190305_c11b3312[[#This Row],[Column8]]/100</f>
        <v>5.34</v>
      </c>
      <c r="J145" s="34"/>
    </row>
    <row r="146" spans="1:10" x14ac:dyDescent="0.25">
      <c r="A146" s="34" t="s">
        <v>164</v>
      </c>
      <c r="B146" s="34" t="s">
        <v>165</v>
      </c>
      <c r="C146" t="s">
        <v>166</v>
      </c>
      <c r="D146" t="s">
        <v>175</v>
      </c>
      <c r="E146" t="s">
        <v>188</v>
      </c>
      <c r="F146" t="s">
        <v>181</v>
      </c>
      <c r="G146" t="s">
        <v>169</v>
      </c>
      <c r="H146">
        <v>574</v>
      </c>
      <c r="I146" s="34">
        <f>+POWER_Regional_Daily_20150101_20190305_c11b3312[[#This Row],[Column8]]/100</f>
        <v>5.74</v>
      </c>
      <c r="J146" s="34"/>
    </row>
    <row r="147" spans="1:10" x14ac:dyDescent="0.25">
      <c r="A147" s="34" t="s">
        <v>164</v>
      </c>
      <c r="B147" s="34" t="s">
        <v>165</v>
      </c>
      <c r="C147" t="s">
        <v>166</v>
      </c>
      <c r="D147" t="s">
        <v>175</v>
      </c>
      <c r="E147" t="s">
        <v>190</v>
      </c>
      <c r="F147" t="s">
        <v>197</v>
      </c>
      <c r="G147" t="s">
        <v>169</v>
      </c>
      <c r="H147">
        <v>451</v>
      </c>
      <c r="I147" s="34">
        <f>+POWER_Regional_Daily_20150101_20190305_c11b3312[[#This Row],[Column8]]/100</f>
        <v>4.51</v>
      </c>
      <c r="J147" s="34"/>
    </row>
    <row r="148" spans="1:10" x14ac:dyDescent="0.25">
      <c r="A148" s="34" t="s">
        <v>164</v>
      </c>
      <c r="B148" s="34" t="s">
        <v>165</v>
      </c>
      <c r="C148" t="s">
        <v>166</v>
      </c>
      <c r="D148" t="s">
        <v>175</v>
      </c>
      <c r="E148" t="s">
        <v>192</v>
      </c>
      <c r="F148" t="s">
        <v>201</v>
      </c>
      <c r="G148" t="s">
        <v>169</v>
      </c>
      <c r="H148">
        <v>532</v>
      </c>
      <c r="I148" s="34">
        <f>+POWER_Regional_Daily_20150101_20190305_c11b3312[[#This Row],[Column8]]/100</f>
        <v>5.32</v>
      </c>
      <c r="J148" s="34"/>
    </row>
    <row r="149" spans="1:10" x14ac:dyDescent="0.25">
      <c r="A149" s="34" t="s">
        <v>164</v>
      </c>
      <c r="B149" s="34" t="s">
        <v>165</v>
      </c>
      <c r="C149" t="s">
        <v>166</v>
      </c>
      <c r="D149" t="s">
        <v>175</v>
      </c>
      <c r="E149" t="s">
        <v>194</v>
      </c>
      <c r="F149" t="s">
        <v>233</v>
      </c>
      <c r="G149" t="s">
        <v>169</v>
      </c>
      <c r="H149">
        <v>463</v>
      </c>
      <c r="I149" s="34">
        <f>+POWER_Regional_Daily_20150101_20190305_c11b3312[[#This Row],[Column8]]/100</f>
        <v>4.63</v>
      </c>
      <c r="J149" s="34"/>
    </row>
    <row r="150" spans="1:10" x14ac:dyDescent="0.25">
      <c r="A150" s="34" t="s">
        <v>164</v>
      </c>
      <c r="B150" s="34" t="s">
        <v>165</v>
      </c>
      <c r="C150" t="s">
        <v>166</v>
      </c>
      <c r="D150" t="s">
        <v>175</v>
      </c>
      <c r="E150" t="s">
        <v>196</v>
      </c>
      <c r="F150" t="s">
        <v>195</v>
      </c>
      <c r="G150" t="s">
        <v>169</v>
      </c>
      <c r="H150">
        <v>475</v>
      </c>
      <c r="I150" s="34">
        <f>+POWER_Regional_Daily_20150101_20190305_c11b3312[[#This Row],[Column8]]/100</f>
        <v>4.75</v>
      </c>
      <c r="J150" s="34"/>
    </row>
    <row r="151" spans="1:10" x14ac:dyDescent="0.25">
      <c r="A151" s="34" t="s">
        <v>164</v>
      </c>
      <c r="B151" s="34" t="s">
        <v>165</v>
      </c>
      <c r="C151" t="s">
        <v>166</v>
      </c>
      <c r="D151" t="s">
        <v>175</v>
      </c>
      <c r="E151" t="s">
        <v>198</v>
      </c>
      <c r="F151" t="s">
        <v>204</v>
      </c>
      <c r="G151" t="s">
        <v>169</v>
      </c>
      <c r="H151">
        <v>433</v>
      </c>
      <c r="I151" s="34">
        <f>+POWER_Regional_Daily_20150101_20190305_c11b3312[[#This Row],[Column8]]/100</f>
        <v>4.33</v>
      </c>
      <c r="J151" s="34"/>
    </row>
    <row r="152" spans="1:10" x14ac:dyDescent="0.25">
      <c r="A152" s="34" t="s">
        <v>164</v>
      </c>
      <c r="B152" s="34" t="s">
        <v>165</v>
      </c>
      <c r="C152" t="s">
        <v>166</v>
      </c>
      <c r="D152" t="s">
        <v>175</v>
      </c>
      <c r="E152" t="s">
        <v>199</v>
      </c>
      <c r="F152" t="s">
        <v>201</v>
      </c>
      <c r="G152" t="s">
        <v>169</v>
      </c>
      <c r="H152">
        <v>543</v>
      </c>
      <c r="I152" s="34">
        <f>+POWER_Regional_Daily_20150101_20190305_c11b3312[[#This Row],[Column8]]/100</f>
        <v>5.43</v>
      </c>
      <c r="J152" s="34"/>
    </row>
    <row r="153" spans="1:10" x14ac:dyDescent="0.25">
      <c r="A153" s="34" t="s">
        <v>164</v>
      </c>
      <c r="B153" s="34" t="s">
        <v>165</v>
      </c>
      <c r="C153" t="s">
        <v>166</v>
      </c>
      <c r="D153" t="s">
        <v>175</v>
      </c>
      <c r="E153" t="s">
        <v>200</v>
      </c>
      <c r="F153" t="s">
        <v>187</v>
      </c>
      <c r="G153" t="s">
        <v>169</v>
      </c>
      <c r="H153">
        <v>-999</v>
      </c>
      <c r="I153" s="34">
        <f>+POWER_Regional_Daily_20150101_20190305_c11b3312[[#This Row],[Column8]]/100</f>
        <v>-9.99</v>
      </c>
      <c r="J153" s="34"/>
    </row>
    <row r="154" spans="1:10" x14ac:dyDescent="0.25">
      <c r="A154" s="34" t="s">
        <v>164</v>
      </c>
      <c r="B154" s="34" t="s">
        <v>165</v>
      </c>
      <c r="C154" t="s">
        <v>166</v>
      </c>
      <c r="D154" t="s">
        <v>175</v>
      </c>
      <c r="E154" t="s">
        <v>202</v>
      </c>
      <c r="F154" t="s">
        <v>236</v>
      </c>
      <c r="G154" t="s">
        <v>169</v>
      </c>
      <c r="H154">
        <v>523</v>
      </c>
      <c r="I154" s="34">
        <f>+POWER_Regional_Daily_20150101_20190305_c11b3312[[#This Row],[Column8]]/100</f>
        <v>5.23</v>
      </c>
      <c r="J154" s="34"/>
    </row>
    <row r="155" spans="1:10" x14ac:dyDescent="0.25">
      <c r="A155" s="34" t="s">
        <v>164</v>
      </c>
      <c r="B155" s="34" t="s">
        <v>165</v>
      </c>
      <c r="C155" t="s">
        <v>166</v>
      </c>
      <c r="D155" t="s">
        <v>175</v>
      </c>
      <c r="E155" t="s">
        <v>203</v>
      </c>
      <c r="F155" t="s">
        <v>236</v>
      </c>
      <c r="G155" t="s">
        <v>169</v>
      </c>
      <c r="H155">
        <v>525</v>
      </c>
      <c r="I155" s="34">
        <f>+POWER_Regional_Daily_20150101_20190305_c11b3312[[#This Row],[Column8]]/100</f>
        <v>5.25</v>
      </c>
      <c r="J155" s="34"/>
    </row>
    <row r="156" spans="1:10" x14ac:dyDescent="0.25">
      <c r="A156" s="34" t="s">
        <v>164</v>
      </c>
      <c r="B156" s="34" t="s">
        <v>165</v>
      </c>
      <c r="C156" t="s">
        <v>166</v>
      </c>
      <c r="D156" t="s">
        <v>175</v>
      </c>
      <c r="E156" t="s">
        <v>205</v>
      </c>
      <c r="F156" t="s">
        <v>195</v>
      </c>
      <c r="G156" t="s">
        <v>169</v>
      </c>
      <c r="H156">
        <v>475</v>
      </c>
      <c r="I156" s="34">
        <f>+POWER_Regional_Daily_20150101_20190305_c11b3312[[#This Row],[Column8]]/100</f>
        <v>4.75</v>
      </c>
      <c r="J156" s="34"/>
    </row>
    <row r="157" spans="1:10" x14ac:dyDescent="0.25">
      <c r="A157" s="34" t="s">
        <v>164</v>
      </c>
      <c r="B157" s="34" t="s">
        <v>165</v>
      </c>
      <c r="C157" t="s">
        <v>166</v>
      </c>
      <c r="D157" t="s">
        <v>175</v>
      </c>
      <c r="E157" t="s">
        <v>207</v>
      </c>
      <c r="F157" t="s">
        <v>238</v>
      </c>
      <c r="G157" t="s">
        <v>169</v>
      </c>
      <c r="H157">
        <v>645</v>
      </c>
      <c r="I157" s="34">
        <f>+POWER_Regional_Daily_20150101_20190305_c11b3312[[#This Row],[Column8]]/100</f>
        <v>6.45</v>
      </c>
      <c r="J157" s="34"/>
    </row>
    <row r="158" spans="1:10" x14ac:dyDescent="0.25">
      <c r="A158" s="34" t="s">
        <v>164</v>
      </c>
      <c r="B158" s="34" t="s">
        <v>165</v>
      </c>
      <c r="C158" t="s">
        <v>166</v>
      </c>
      <c r="D158" t="s">
        <v>175</v>
      </c>
      <c r="E158" t="s">
        <v>208</v>
      </c>
      <c r="F158" t="s">
        <v>189</v>
      </c>
      <c r="G158" t="s">
        <v>169</v>
      </c>
      <c r="H158">
        <v>586</v>
      </c>
      <c r="I158" s="34">
        <f>+POWER_Regional_Daily_20150101_20190305_c11b3312[[#This Row],[Column8]]/100</f>
        <v>5.86</v>
      </c>
      <c r="J158" s="34"/>
    </row>
    <row r="159" spans="1:10" x14ac:dyDescent="0.25">
      <c r="A159" s="34" t="s">
        <v>164</v>
      </c>
      <c r="B159" s="34" t="s">
        <v>165</v>
      </c>
      <c r="C159" t="s">
        <v>166</v>
      </c>
      <c r="D159" t="s">
        <v>175</v>
      </c>
      <c r="E159" t="s">
        <v>210</v>
      </c>
      <c r="F159" t="s">
        <v>191</v>
      </c>
      <c r="G159" t="s">
        <v>169</v>
      </c>
      <c r="H159">
        <v>341</v>
      </c>
      <c r="I159" s="34">
        <f>+POWER_Regional_Daily_20150101_20190305_c11b3312[[#This Row],[Column8]]/100</f>
        <v>3.41</v>
      </c>
      <c r="J159" s="34"/>
    </row>
    <row r="160" spans="1:10" x14ac:dyDescent="0.25">
      <c r="A160" s="34" t="s">
        <v>164</v>
      </c>
      <c r="B160" s="34" t="s">
        <v>165</v>
      </c>
      <c r="C160" t="s">
        <v>166</v>
      </c>
      <c r="D160" t="s">
        <v>175</v>
      </c>
      <c r="E160" t="s">
        <v>212</v>
      </c>
      <c r="F160" t="s">
        <v>218</v>
      </c>
      <c r="G160" t="s">
        <v>169</v>
      </c>
      <c r="H160">
        <v>578</v>
      </c>
      <c r="I160" s="34">
        <f>+POWER_Regional_Daily_20150101_20190305_c11b3312[[#This Row],[Column8]]/100</f>
        <v>5.78</v>
      </c>
      <c r="J160" s="34"/>
    </row>
    <row r="161" spans="1:10" x14ac:dyDescent="0.25">
      <c r="A161" s="34" t="s">
        <v>164</v>
      </c>
      <c r="B161" s="34" t="s">
        <v>165</v>
      </c>
      <c r="C161" t="s">
        <v>166</v>
      </c>
      <c r="D161" t="s">
        <v>175</v>
      </c>
      <c r="E161" t="s">
        <v>214</v>
      </c>
      <c r="F161" t="s">
        <v>241</v>
      </c>
      <c r="G161" t="s">
        <v>169</v>
      </c>
      <c r="H161">
        <v>287</v>
      </c>
      <c r="I161" s="34">
        <f>+POWER_Regional_Daily_20150101_20190305_c11b3312[[#This Row],[Column8]]/100</f>
        <v>2.87</v>
      </c>
      <c r="J161" s="34"/>
    </row>
    <row r="162" spans="1:10" x14ac:dyDescent="0.25">
      <c r="A162" s="34" t="s">
        <v>164</v>
      </c>
      <c r="B162" s="34" t="s">
        <v>165</v>
      </c>
      <c r="C162" t="s">
        <v>166</v>
      </c>
      <c r="D162" t="s">
        <v>175</v>
      </c>
      <c r="E162" t="s">
        <v>215</v>
      </c>
      <c r="F162" t="s">
        <v>226</v>
      </c>
      <c r="G162" t="s">
        <v>169</v>
      </c>
      <c r="H162">
        <v>220</v>
      </c>
      <c r="I162" s="34">
        <f>+POWER_Regional_Daily_20150101_20190305_c11b3312[[#This Row],[Column8]]/100</f>
        <v>2.2000000000000002</v>
      </c>
      <c r="J162" s="34"/>
    </row>
    <row r="163" spans="1:10" x14ac:dyDescent="0.25">
      <c r="A163" s="34" t="s">
        <v>164</v>
      </c>
      <c r="B163" s="34" t="s">
        <v>165</v>
      </c>
      <c r="C163" t="s">
        <v>166</v>
      </c>
      <c r="D163" t="s">
        <v>175</v>
      </c>
      <c r="E163" t="s">
        <v>217</v>
      </c>
      <c r="F163" t="s">
        <v>239</v>
      </c>
      <c r="G163" t="s">
        <v>169</v>
      </c>
      <c r="H163">
        <v>353</v>
      </c>
      <c r="I163" s="34">
        <f>+POWER_Regional_Daily_20150101_20190305_c11b3312[[#This Row],[Column8]]/100</f>
        <v>3.53</v>
      </c>
      <c r="J163" s="34"/>
    </row>
    <row r="164" spans="1:10" x14ac:dyDescent="0.25">
      <c r="A164" s="34" t="s">
        <v>164</v>
      </c>
      <c r="B164" s="34" t="s">
        <v>165</v>
      </c>
      <c r="C164" t="s">
        <v>166</v>
      </c>
      <c r="D164" t="s">
        <v>175</v>
      </c>
      <c r="E164" t="s">
        <v>219</v>
      </c>
      <c r="F164" t="s">
        <v>222</v>
      </c>
      <c r="G164" t="s">
        <v>169</v>
      </c>
      <c r="H164">
        <v>532</v>
      </c>
      <c r="I164" s="34">
        <f>+POWER_Regional_Daily_20150101_20190305_c11b3312[[#This Row],[Column8]]/100</f>
        <v>5.32</v>
      </c>
      <c r="J164" s="34"/>
    </row>
    <row r="165" spans="1:10" x14ac:dyDescent="0.25">
      <c r="A165" s="34" t="s">
        <v>164</v>
      </c>
      <c r="B165" s="34" t="s">
        <v>165</v>
      </c>
      <c r="C165" t="s">
        <v>166</v>
      </c>
      <c r="D165" t="s">
        <v>175</v>
      </c>
      <c r="E165" t="s">
        <v>220</v>
      </c>
      <c r="F165" t="s">
        <v>189</v>
      </c>
      <c r="G165" t="s">
        <v>169</v>
      </c>
      <c r="H165">
        <v>593</v>
      </c>
      <c r="I165" s="34">
        <f>+POWER_Regional_Daily_20150101_20190305_c11b3312[[#This Row],[Column8]]/100</f>
        <v>5.93</v>
      </c>
      <c r="J165" s="34"/>
    </row>
    <row r="166" spans="1:10" x14ac:dyDescent="0.25">
      <c r="A166" s="34" t="s">
        <v>164</v>
      </c>
      <c r="B166" s="34" t="s">
        <v>165</v>
      </c>
      <c r="C166" t="s">
        <v>166</v>
      </c>
      <c r="D166" t="s">
        <v>177</v>
      </c>
      <c r="E166" t="s">
        <v>167</v>
      </c>
      <c r="F166" t="s">
        <v>222</v>
      </c>
      <c r="G166" t="s">
        <v>169</v>
      </c>
      <c r="H166">
        <v>537</v>
      </c>
      <c r="I166" s="34">
        <f>+POWER_Regional_Daily_20150101_20190305_c11b3312[[#This Row],[Column8]]/100</f>
        <v>5.37</v>
      </c>
      <c r="J166" s="34"/>
    </row>
    <row r="167" spans="1:10" x14ac:dyDescent="0.25">
      <c r="A167" s="34" t="s">
        <v>164</v>
      </c>
      <c r="B167" s="34" t="s">
        <v>165</v>
      </c>
      <c r="C167" t="s">
        <v>166</v>
      </c>
      <c r="D167" t="s">
        <v>177</v>
      </c>
      <c r="E167" t="s">
        <v>170</v>
      </c>
      <c r="F167" t="s">
        <v>233</v>
      </c>
      <c r="G167" t="s">
        <v>169</v>
      </c>
      <c r="H167">
        <v>461</v>
      </c>
      <c r="I167" s="34">
        <f>+POWER_Regional_Daily_20150101_20190305_c11b3312[[#This Row],[Column8]]/100</f>
        <v>4.6100000000000003</v>
      </c>
      <c r="J167" s="34"/>
    </row>
    <row r="168" spans="1:10" x14ac:dyDescent="0.25">
      <c r="A168" s="34" t="s">
        <v>164</v>
      </c>
      <c r="B168" s="34" t="s">
        <v>165</v>
      </c>
      <c r="C168" t="s">
        <v>166</v>
      </c>
      <c r="D168" t="s">
        <v>177</v>
      </c>
      <c r="E168" t="s">
        <v>172</v>
      </c>
      <c r="F168" t="s">
        <v>231</v>
      </c>
      <c r="G168" t="s">
        <v>169</v>
      </c>
      <c r="H168">
        <v>481</v>
      </c>
      <c r="I168" s="34">
        <f>+POWER_Regional_Daily_20150101_20190305_c11b3312[[#This Row],[Column8]]/100</f>
        <v>4.8099999999999996</v>
      </c>
      <c r="J168" s="34"/>
    </row>
    <row r="169" spans="1:10" x14ac:dyDescent="0.25">
      <c r="A169" s="34" t="s">
        <v>164</v>
      </c>
      <c r="B169" s="34" t="s">
        <v>165</v>
      </c>
      <c r="C169" t="s">
        <v>166</v>
      </c>
      <c r="D169" t="s">
        <v>177</v>
      </c>
      <c r="E169" t="s">
        <v>174</v>
      </c>
      <c r="F169" t="s">
        <v>187</v>
      </c>
      <c r="G169" t="s">
        <v>169</v>
      </c>
      <c r="H169">
        <v>-999</v>
      </c>
      <c r="I169" s="34">
        <f>+POWER_Regional_Daily_20150101_20190305_c11b3312[[#This Row],[Column8]]/100</f>
        <v>-9.99</v>
      </c>
      <c r="J169" s="34"/>
    </row>
    <row r="170" spans="1:10" x14ac:dyDescent="0.25">
      <c r="A170" s="34" t="s">
        <v>164</v>
      </c>
      <c r="B170" s="34" t="s">
        <v>165</v>
      </c>
      <c r="C170" t="s">
        <v>166</v>
      </c>
      <c r="D170" t="s">
        <v>177</v>
      </c>
      <c r="E170" t="s">
        <v>175</v>
      </c>
      <c r="F170" t="s">
        <v>216</v>
      </c>
      <c r="G170" t="s">
        <v>169</v>
      </c>
      <c r="H170">
        <v>322</v>
      </c>
      <c r="I170" s="34">
        <f>+POWER_Regional_Daily_20150101_20190305_c11b3312[[#This Row],[Column8]]/100</f>
        <v>3.22</v>
      </c>
      <c r="J170" s="34"/>
    </row>
    <row r="171" spans="1:10" x14ac:dyDescent="0.25">
      <c r="A171" s="34" t="s">
        <v>164</v>
      </c>
      <c r="B171" s="34" t="s">
        <v>165</v>
      </c>
      <c r="C171" t="s">
        <v>166</v>
      </c>
      <c r="D171" t="s">
        <v>177</v>
      </c>
      <c r="E171" t="s">
        <v>177</v>
      </c>
      <c r="F171" t="s">
        <v>195</v>
      </c>
      <c r="G171" t="s">
        <v>169</v>
      </c>
      <c r="H171">
        <v>468</v>
      </c>
      <c r="I171" s="34">
        <f>+POWER_Regional_Daily_20150101_20190305_c11b3312[[#This Row],[Column8]]/100</f>
        <v>4.68</v>
      </c>
      <c r="J171" s="34"/>
    </row>
    <row r="172" spans="1:10" x14ac:dyDescent="0.25">
      <c r="A172" s="34" t="s">
        <v>164</v>
      </c>
      <c r="B172" s="34" t="s">
        <v>165</v>
      </c>
      <c r="C172" t="s">
        <v>166</v>
      </c>
      <c r="D172" t="s">
        <v>177</v>
      </c>
      <c r="E172" t="s">
        <v>178</v>
      </c>
      <c r="F172" t="s">
        <v>231</v>
      </c>
      <c r="G172" t="s">
        <v>169</v>
      </c>
      <c r="H172">
        <v>478</v>
      </c>
      <c r="I172" s="34">
        <f>+POWER_Regional_Daily_20150101_20190305_c11b3312[[#This Row],[Column8]]/100</f>
        <v>4.78</v>
      </c>
      <c r="J172" s="34"/>
    </row>
    <row r="173" spans="1:10" x14ac:dyDescent="0.25">
      <c r="A173" s="34" t="s">
        <v>164</v>
      </c>
      <c r="B173" s="34" t="s">
        <v>165</v>
      </c>
      <c r="C173" t="s">
        <v>166</v>
      </c>
      <c r="D173" t="s">
        <v>177</v>
      </c>
      <c r="E173" t="s">
        <v>180</v>
      </c>
      <c r="F173" t="s">
        <v>230</v>
      </c>
      <c r="G173" t="s">
        <v>169</v>
      </c>
      <c r="H173">
        <v>369</v>
      </c>
      <c r="I173" s="34">
        <f>+POWER_Regional_Daily_20150101_20190305_c11b3312[[#This Row],[Column8]]/100</f>
        <v>3.69</v>
      </c>
      <c r="J173" s="34"/>
    </row>
    <row r="174" spans="1:10" x14ac:dyDescent="0.25">
      <c r="A174" s="34" t="s">
        <v>164</v>
      </c>
      <c r="B174" s="34" t="s">
        <v>165</v>
      </c>
      <c r="C174" t="s">
        <v>166</v>
      </c>
      <c r="D174" t="s">
        <v>177</v>
      </c>
      <c r="E174" t="s">
        <v>182</v>
      </c>
      <c r="F174" t="s">
        <v>246</v>
      </c>
      <c r="G174" t="s">
        <v>169</v>
      </c>
      <c r="H174">
        <v>373</v>
      </c>
      <c r="I174" s="34">
        <f>+POWER_Regional_Daily_20150101_20190305_c11b3312[[#This Row],[Column8]]/100</f>
        <v>3.73</v>
      </c>
      <c r="J174" s="34"/>
    </row>
    <row r="175" spans="1:10" x14ac:dyDescent="0.25">
      <c r="A175" s="34" t="s">
        <v>164</v>
      </c>
      <c r="B175" s="34" t="s">
        <v>165</v>
      </c>
      <c r="C175" t="s">
        <v>166</v>
      </c>
      <c r="D175" t="s">
        <v>177</v>
      </c>
      <c r="E175" t="s">
        <v>184</v>
      </c>
      <c r="F175" t="s">
        <v>209</v>
      </c>
      <c r="G175" t="s">
        <v>169</v>
      </c>
      <c r="H175">
        <v>498</v>
      </c>
      <c r="I175" s="34">
        <f>+POWER_Regional_Daily_20150101_20190305_c11b3312[[#This Row],[Column8]]/100</f>
        <v>4.9800000000000004</v>
      </c>
      <c r="J175" s="34"/>
    </row>
    <row r="176" spans="1:10" x14ac:dyDescent="0.25">
      <c r="A176" s="34" t="s">
        <v>164</v>
      </c>
      <c r="B176" s="34" t="s">
        <v>165</v>
      </c>
      <c r="C176" t="s">
        <v>166</v>
      </c>
      <c r="D176" t="s">
        <v>177</v>
      </c>
      <c r="E176" t="s">
        <v>186</v>
      </c>
      <c r="F176" t="s">
        <v>213</v>
      </c>
      <c r="G176" t="s">
        <v>169</v>
      </c>
      <c r="H176">
        <v>541</v>
      </c>
      <c r="I176" s="34">
        <f>+POWER_Regional_Daily_20150101_20190305_c11b3312[[#This Row],[Column8]]/100</f>
        <v>5.41</v>
      </c>
      <c r="J176" s="34"/>
    </row>
    <row r="177" spans="1:10" x14ac:dyDescent="0.25">
      <c r="A177" s="34" t="s">
        <v>164</v>
      </c>
      <c r="B177" s="34" t="s">
        <v>165</v>
      </c>
      <c r="C177" t="s">
        <v>166</v>
      </c>
      <c r="D177" t="s">
        <v>177</v>
      </c>
      <c r="E177" t="s">
        <v>188</v>
      </c>
      <c r="F177" t="s">
        <v>223</v>
      </c>
      <c r="G177" t="s">
        <v>169</v>
      </c>
      <c r="H177">
        <v>491</v>
      </c>
      <c r="I177" s="34">
        <f>+POWER_Regional_Daily_20150101_20190305_c11b3312[[#This Row],[Column8]]/100</f>
        <v>4.91</v>
      </c>
      <c r="J177" s="34"/>
    </row>
    <row r="178" spans="1:10" x14ac:dyDescent="0.25">
      <c r="A178" s="34" t="s">
        <v>164</v>
      </c>
      <c r="B178" s="34" t="s">
        <v>165</v>
      </c>
      <c r="C178" t="s">
        <v>166</v>
      </c>
      <c r="D178" t="s">
        <v>177</v>
      </c>
      <c r="E178" t="s">
        <v>190</v>
      </c>
      <c r="F178" t="s">
        <v>241</v>
      </c>
      <c r="G178" t="s">
        <v>169</v>
      </c>
      <c r="H178">
        <v>283</v>
      </c>
      <c r="I178" s="34">
        <f>+POWER_Regional_Daily_20150101_20190305_c11b3312[[#This Row],[Column8]]/100</f>
        <v>2.83</v>
      </c>
      <c r="J178" s="34"/>
    </row>
    <row r="179" spans="1:10" x14ac:dyDescent="0.25">
      <c r="A179" s="34" t="s">
        <v>164</v>
      </c>
      <c r="B179" s="34" t="s">
        <v>165</v>
      </c>
      <c r="C179" t="s">
        <v>166</v>
      </c>
      <c r="D179" t="s">
        <v>177</v>
      </c>
      <c r="E179" t="s">
        <v>192</v>
      </c>
      <c r="F179" t="s">
        <v>195</v>
      </c>
      <c r="G179" t="s">
        <v>169</v>
      </c>
      <c r="H179">
        <v>471</v>
      </c>
      <c r="I179" s="34">
        <f>+POWER_Regional_Daily_20150101_20190305_c11b3312[[#This Row],[Column8]]/100</f>
        <v>4.71</v>
      </c>
      <c r="J179" s="34"/>
    </row>
    <row r="180" spans="1:10" x14ac:dyDescent="0.25">
      <c r="A180" s="34" t="s">
        <v>164</v>
      </c>
      <c r="B180" s="34" t="s">
        <v>165</v>
      </c>
      <c r="C180" t="s">
        <v>166</v>
      </c>
      <c r="D180" t="s">
        <v>177</v>
      </c>
      <c r="E180" t="s">
        <v>194</v>
      </c>
      <c r="F180" t="s">
        <v>223</v>
      </c>
      <c r="G180" t="s">
        <v>169</v>
      </c>
      <c r="H180">
        <v>484</v>
      </c>
      <c r="I180" s="34">
        <f>+POWER_Regional_Daily_20150101_20190305_c11b3312[[#This Row],[Column8]]/100</f>
        <v>4.84</v>
      </c>
      <c r="J180" s="34"/>
    </row>
    <row r="181" spans="1:10" x14ac:dyDescent="0.25">
      <c r="A181" s="34" t="s">
        <v>164</v>
      </c>
      <c r="B181" s="34" t="s">
        <v>165</v>
      </c>
      <c r="C181" t="s">
        <v>166</v>
      </c>
      <c r="D181" t="s">
        <v>177</v>
      </c>
      <c r="E181" t="s">
        <v>196</v>
      </c>
      <c r="F181" t="s">
        <v>176</v>
      </c>
      <c r="G181" t="s">
        <v>300</v>
      </c>
      <c r="H181">
        <v>639</v>
      </c>
      <c r="I181" s="34">
        <f>+POWER_Regional_Daily_20150101_20190305_c11b3312[[#This Row],[Column8]]/100</f>
        <v>6.39</v>
      </c>
      <c r="J181" s="34"/>
    </row>
    <row r="182" spans="1:10" x14ac:dyDescent="0.25">
      <c r="A182" s="34" t="s">
        <v>164</v>
      </c>
      <c r="B182" s="34" t="s">
        <v>165</v>
      </c>
      <c r="C182" t="s">
        <v>166</v>
      </c>
      <c r="D182" t="s">
        <v>177</v>
      </c>
      <c r="E182" t="s">
        <v>198</v>
      </c>
      <c r="F182" t="s">
        <v>233</v>
      </c>
      <c r="G182" t="s">
        <v>169</v>
      </c>
      <c r="H182">
        <v>461</v>
      </c>
      <c r="I182" s="34">
        <f>+POWER_Regional_Daily_20150101_20190305_c11b3312[[#This Row],[Column8]]/100</f>
        <v>4.6100000000000003</v>
      </c>
      <c r="J182" s="34"/>
    </row>
    <row r="183" spans="1:10" x14ac:dyDescent="0.25">
      <c r="A183" s="34" t="s">
        <v>164</v>
      </c>
      <c r="B183" s="34" t="s">
        <v>165</v>
      </c>
      <c r="C183" t="s">
        <v>166</v>
      </c>
      <c r="D183" t="s">
        <v>177</v>
      </c>
      <c r="E183" t="s">
        <v>199</v>
      </c>
      <c r="F183" t="s">
        <v>223</v>
      </c>
      <c r="G183" t="s">
        <v>169</v>
      </c>
      <c r="H183">
        <v>476</v>
      </c>
      <c r="I183" s="34">
        <f>+POWER_Regional_Daily_20150101_20190305_c11b3312[[#This Row],[Column8]]/100</f>
        <v>4.76</v>
      </c>
      <c r="J183" s="34"/>
    </row>
    <row r="184" spans="1:10" x14ac:dyDescent="0.25">
      <c r="A184" s="34" t="s">
        <v>164</v>
      </c>
      <c r="B184" s="34" t="s">
        <v>165</v>
      </c>
      <c r="C184" t="s">
        <v>166</v>
      </c>
      <c r="D184" t="s">
        <v>177</v>
      </c>
      <c r="E184" t="s">
        <v>200</v>
      </c>
      <c r="F184" t="s">
        <v>187</v>
      </c>
      <c r="G184" t="s">
        <v>169</v>
      </c>
      <c r="H184">
        <v>-999</v>
      </c>
      <c r="I184" s="34">
        <f>+POWER_Regional_Daily_20150101_20190305_c11b3312[[#This Row],[Column8]]/100</f>
        <v>-9.99</v>
      </c>
      <c r="J184" s="34"/>
    </row>
    <row r="185" spans="1:10" x14ac:dyDescent="0.25">
      <c r="A185" s="34" t="s">
        <v>164</v>
      </c>
      <c r="B185" s="34" t="s">
        <v>165</v>
      </c>
      <c r="C185" t="s">
        <v>166</v>
      </c>
      <c r="D185" t="s">
        <v>177</v>
      </c>
      <c r="E185" t="s">
        <v>202</v>
      </c>
      <c r="F185" t="s">
        <v>187</v>
      </c>
      <c r="G185" t="s">
        <v>169</v>
      </c>
      <c r="H185">
        <v>-999</v>
      </c>
      <c r="I185" s="34">
        <f>+POWER_Regional_Daily_20150101_20190305_c11b3312[[#This Row],[Column8]]/100</f>
        <v>-9.99</v>
      </c>
      <c r="J185" s="34"/>
    </row>
    <row r="186" spans="1:10" x14ac:dyDescent="0.25">
      <c r="A186" s="34" t="s">
        <v>164</v>
      </c>
      <c r="B186" s="34" t="s">
        <v>165</v>
      </c>
      <c r="C186" t="s">
        <v>166</v>
      </c>
      <c r="D186" t="s">
        <v>177</v>
      </c>
      <c r="E186" t="s">
        <v>203</v>
      </c>
      <c r="F186" t="s">
        <v>235</v>
      </c>
      <c r="G186" t="s">
        <v>301</v>
      </c>
      <c r="H186">
        <v>487</v>
      </c>
      <c r="I186" s="34">
        <f>+POWER_Regional_Daily_20150101_20190305_c11b3312[[#This Row],[Column8]]/100</f>
        <v>4.87</v>
      </c>
      <c r="J186" s="34"/>
    </row>
    <row r="187" spans="1:10" x14ac:dyDescent="0.25">
      <c r="A187" s="34" t="s">
        <v>164</v>
      </c>
      <c r="B187" s="34" t="s">
        <v>165</v>
      </c>
      <c r="C187" t="s">
        <v>166</v>
      </c>
      <c r="D187" t="s">
        <v>177</v>
      </c>
      <c r="E187" t="s">
        <v>205</v>
      </c>
      <c r="F187" t="s">
        <v>185</v>
      </c>
      <c r="G187" t="s">
        <v>169</v>
      </c>
      <c r="H187">
        <v>585</v>
      </c>
      <c r="I187" s="34">
        <f>+POWER_Regional_Daily_20150101_20190305_c11b3312[[#This Row],[Column8]]/100</f>
        <v>5.85</v>
      </c>
      <c r="J187" s="34"/>
    </row>
    <row r="188" spans="1:10" x14ac:dyDescent="0.25">
      <c r="A188" s="34" t="s">
        <v>164</v>
      </c>
      <c r="B188" s="34" t="s">
        <v>165</v>
      </c>
      <c r="C188" t="s">
        <v>166</v>
      </c>
      <c r="D188" t="s">
        <v>177</v>
      </c>
      <c r="E188" t="s">
        <v>207</v>
      </c>
      <c r="F188" t="s">
        <v>248</v>
      </c>
      <c r="G188" t="s">
        <v>302</v>
      </c>
      <c r="H188">
        <v>643</v>
      </c>
      <c r="I188" s="34">
        <f>+POWER_Regional_Daily_20150101_20190305_c11b3312[[#This Row],[Column8]]/100</f>
        <v>6.43</v>
      </c>
      <c r="J188" s="34"/>
    </row>
    <row r="189" spans="1:10" x14ac:dyDescent="0.25">
      <c r="A189" s="34" t="s">
        <v>164</v>
      </c>
      <c r="B189" s="34" t="s">
        <v>165</v>
      </c>
      <c r="C189" t="s">
        <v>166</v>
      </c>
      <c r="D189" t="s">
        <v>177</v>
      </c>
      <c r="E189" t="s">
        <v>208</v>
      </c>
      <c r="F189" t="s">
        <v>247</v>
      </c>
      <c r="G189" t="s">
        <v>169</v>
      </c>
      <c r="H189">
        <v>675</v>
      </c>
      <c r="I189" s="34">
        <f>+POWER_Regional_Daily_20150101_20190305_c11b3312[[#This Row],[Column8]]/100</f>
        <v>6.75</v>
      </c>
      <c r="J189" s="34"/>
    </row>
    <row r="190" spans="1:10" x14ac:dyDescent="0.25">
      <c r="A190" s="34" t="s">
        <v>164</v>
      </c>
      <c r="B190" s="34" t="s">
        <v>165</v>
      </c>
      <c r="C190" t="s">
        <v>166</v>
      </c>
      <c r="D190" t="s">
        <v>177</v>
      </c>
      <c r="E190" t="s">
        <v>210</v>
      </c>
      <c r="F190" t="s">
        <v>189</v>
      </c>
      <c r="G190" t="s">
        <v>169</v>
      </c>
      <c r="H190">
        <v>585</v>
      </c>
      <c r="I190" s="34">
        <f>+POWER_Regional_Daily_20150101_20190305_c11b3312[[#This Row],[Column8]]/100</f>
        <v>5.85</v>
      </c>
      <c r="J190" s="34"/>
    </row>
    <row r="191" spans="1:10" x14ac:dyDescent="0.25">
      <c r="A191" s="34" t="s">
        <v>164</v>
      </c>
      <c r="B191" s="34" t="s">
        <v>165</v>
      </c>
      <c r="C191" t="s">
        <v>166</v>
      </c>
      <c r="D191" t="s">
        <v>177</v>
      </c>
      <c r="E191" t="s">
        <v>212</v>
      </c>
      <c r="F191" t="s">
        <v>185</v>
      </c>
      <c r="G191" t="s">
        <v>169</v>
      </c>
      <c r="H191">
        <v>596</v>
      </c>
      <c r="I191" s="34">
        <f>+POWER_Regional_Daily_20150101_20190305_c11b3312[[#This Row],[Column8]]/100</f>
        <v>5.96</v>
      </c>
      <c r="J191" s="34"/>
    </row>
    <row r="192" spans="1:10" x14ac:dyDescent="0.25">
      <c r="A192" s="34" t="s">
        <v>164</v>
      </c>
      <c r="B192" s="34" t="s">
        <v>165</v>
      </c>
      <c r="C192" t="s">
        <v>166</v>
      </c>
      <c r="D192" t="s">
        <v>177</v>
      </c>
      <c r="E192" t="s">
        <v>214</v>
      </c>
      <c r="F192" t="s">
        <v>193</v>
      </c>
      <c r="G192" t="s">
        <v>169</v>
      </c>
      <c r="H192">
        <v>385</v>
      </c>
      <c r="I192" s="34">
        <f>+POWER_Regional_Daily_20150101_20190305_c11b3312[[#This Row],[Column8]]/100</f>
        <v>3.85</v>
      </c>
      <c r="J192" s="34"/>
    </row>
    <row r="193" spans="1:10" x14ac:dyDescent="0.25">
      <c r="A193" s="34" t="s">
        <v>164</v>
      </c>
      <c r="B193" s="34" t="s">
        <v>165</v>
      </c>
      <c r="C193" t="s">
        <v>166</v>
      </c>
      <c r="D193" t="s">
        <v>177</v>
      </c>
      <c r="E193" t="s">
        <v>215</v>
      </c>
      <c r="F193" t="s">
        <v>193</v>
      </c>
      <c r="G193" t="s">
        <v>169</v>
      </c>
      <c r="H193">
        <v>386</v>
      </c>
      <c r="I193" s="34">
        <f>+POWER_Regional_Daily_20150101_20190305_c11b3312[[#This Row],[Column8]]/100</f>
        <v>3.86</v>
      </c>
      <c r="J193" s="34"/>
    </row>
    <row r="194" spans="1:10" x14ac:dyDescent="0.25">
      <c r="A194" s="34" t="s">
        <v>164</v>
      </c>
      <c r="B194" s="34" t="s">
        <v>165</v>
      </c>
      <c r="C194" t="s">
        <v>166</v>
      </c>
      <c r="D194" t="s">
        <v>177</v>
      </c>
      <c r="E194" t="s">
        <v>217</v>
      </c>
      <c r="F194" t="s">
        <v>243</v>
      </c>
      <c r="G194" t="s">
        <v>169</v>
      </c>
      <c r="H194">
        <v>299</v>
      </c>
      <c r="I194" s="34">
        <f>+POWER_Regional_Daily_20150101_20190305_c11b3312[[#This Row],[Column8]]/100</f>
        <v>2.99</v>
      </c>
      <c r="J194" s="34"/>
    </row>
    <row r="195" spans="1:10" x14ac:dyDescent="0.25">
      <c r="A195" s="34" t="s">
        <v>164</v>
      </c>
      <c r="B195" s="34" t="s">
        <v>165</v>
      </c>
      <c r="C195" t="s">
        <v>166</v>
      </c>
      <c r="D195" t="s">
        <v>177</v>
      </c>
      <c r="E195" t="s">
        <v>219</v>
      </c>
      <c r="F195" t="s">
        <v>189</v>
      </c>
      <c r="G195" t="s">
        <v>303</v>
      </c>
      <c r="H195">
        <v>567</v>
      </c>
      <c r="I195" s="34">
        <f>+POWER_Regional_Daily_20150101_20190305_c11b3312[[#This Row],[Column8]]/100</f>
        <v>5.67</v>
      </c>
      <c r="J195" s="34"/>
    </row>
    <row r="196" spans="1:10" x14ac:dyDescent="0.25">
      <c r="A196" s="34" t="s">
        <v>164</v>
      </c>
      <c r="B196" s="34" t="s">
        <v>165</v>
      </c>
      <c r="C196" t="s">
        <v>166</v>
      </c>
      <c r="D196" t="s">
        <v>178</v>
      </c>
      <c r="E196" t="s">
        <v>167</v>
      </c>
      <c r="F196" t="s">
        <v>213</v>
      </c>
      <c r="G196" t="s">
        <v>169</v>
      </c>
      <c r="H196">
        <v>544</v>
      </c>
      <c r="I196" s="34">
        <f>+POWER_Regional_Daily_20150101_20190305_c11b3312[[#This Row],[Column8]]/100</f>
        <v>5.44</v>
      </c>
      <c r="J196" s="34"/>
    </row>
    <row r="197" spans="1:10" x14ac:dyDescent="0.25">
      <c r="A197" s="34" t="s">
        <v>164</v>
      </c>
      <c r="B197" s="34" t="s">
        <v>165</v>
      </c>
      <c r="C197" t="s">
        <v>166</v>
      </c>
      <c r="D197" t="s">
        <v>178</v>
      </c>
      <c r="E197" t="s">
        <v>170</v>
      </c>
      <c r="F197" t="s">
        <v>232</v>
      </c>
      <c r="G197" t="s">
        <v>169</v>
      </c>
      <c r="H197">
        <v>597</v>
      </c>
      <c r="I197" s="34">
        <f>+POWER_Regional_Daily_20150101_20190305_c11b3312[[#This Row],[Column8]]/100</f>
        <v>5.97</v>
      </c>
      <c r="J197" s="34"/>
    </row>
    <row r="198" spans="1:10" x14ac:dyDescent="0.25">
      <c r="A198" s="34" t="s">
        <v>164</v>
      </c>
      <c r="B198" s="34" t="s">
        <v>165</v>
      </c>
      <c r="C198" t="s">
        <v>166</v>
      </c>
      <c r="D198" t="s">
        <v>178</v>
      </c>
      <c r="E198" t="s">
        <v>172</v>
      </c>
      <c r="F198" t="s">
        <v>238</v>
      </c>
      <c r="G198" t="s">
        <v>169</v>
      </c>
      <c r="H198">
        <v>628</v>
      </c>
      <c r="I198" s="34">
        <f>+POWER_Regional_Daily_20150101_20190305_c11b3312[[#This Row],[Column8]]/100</f>
        <v>6.28</v>
      </c>
      <c r="J198" s="34"/>
    </row>
    <row r="199" spans="1:10" x14ac:dyDescent="0.25">
      <c r="A199" s="34" t="s">
        <v>164</v>
      </c>
      <c r="B199" s="34" t="s">
        <v>165</v>
      </c>
      <c r="C199" t="s">
        <v>166</v>
      </c>
      <c r="D199" t="s">
        <v>178</v>
      </c>
      <c r="E199" t="s">
        <v>174</v>
      </c>
      <c r="F199" t="s">
        <v>213</v>
      </c>
      <c r="G199" t="s">
        <v>169</v>
      </c>
      <c r="H199">
        <v>541</v>
      </c>
      <c r="I199" s="34">
        <f>+POWER_Regional_Daily_20150101_20190305_c11b3312[[#This Row],[Column8]]/100</f>
        <v>5.41</v>
      </c>
      <c r="J199" s="34"/>
    </row>
    <row r="200" spans="1:10" x14ac:dyDescent="0.25">
      <c r="A200" s="34" t="s">
        <v>164</v>
      </c>
      <c r="B200" s="34" t="s">
        <v>165</v>
      </c>
      <c r="C200" t="s">
        <v>166</v>
      </c>
      <c r="D200" t="s">
        <v>178</v>
      </c>
      <c r="E200" t="s">
        <v>175</v>
      </c>
      <c r="F200" t="s">
        <v>195</v>
      </c>
      <c r="G200" t="s">
        <v>169</v>
      </c>
      <c r="H200">
        <v>464</v>
      </c>
      <c r="I200" s="34">
        <f>+POWER_Regional_Daily_20150101_20190305_c11b3312[[#This Row],[Column8]]/100</f>
        <v>4.6399999999999997</v>
      </c>
      <c r="J200" s="34"/>
    </row>
    <row r="201" spans="1:10" x14ac:dyDescent="0.25">
      <c r="A201" s="34" t="s">
        <v>164</v>
      </c>
      <c r="B201" s="34" t="s">
        <v>165</v>
      </c>
      <c r="C201" t="s">
        <v>166</v>
      </c>
      <c r="D201" t="s">
        <v>178</v>
      </c>
      <c r="E201" t="s">
        <v>177</v>
      </c>
      <c r="F201" t="s">
        <v>187</v>
      </c>
      <c r="G201" t="s">
        <v>169</v>
      </c>
      <c r="H201">
        <v>-999</v>
      </c>
      <c r="I201" s="34">
        <f>+POWER_Regional_Daily_20150101_20190305_c11b3312[[#This Row],[Column8]]/100</f>
        <v>-9.99</v>
      </c>
      <c r="J201" s="34"/>
    </row>
    <row r="202" spans="1:10" x14ac:dyDescent="0.25">
      <c r="A202" s="34" t="s">
        <v>164</v>
      </c>
      <c r="B202" s="34" t="s">
        <v>165</v>
      </c>
      <c r="C202" t="s">
        <v>166</v>
      </c>
      <c r="D202" t="s">
        <v>178</v>
      </c>
      <c r="E202" t="s">
        <v>178</v>
      </c>
      <c r="F202" t="s">
        <v>216</v>
      </c>
      <c r="G202" t="s">
        <v>169</v>
      </c>
      <c r="H202">
        <v>320</v>
      </c>
      <c r="I202" s="34">
        <f>+POWER_Regional_Daily_20150101_20190305_c11b3312[[#This Row],[Column8]]/100</f>
        <v>3.2</v>
      </c>
      <c r="J202" s="34"/>
    </row>
    <row r="203" spans="1:10" x14ac:dyDescent="0.25">
      <c r="A203" s="34" t="s">
        <v>164</v>
      </c>
      <c r="B203" s="34" t="s">
        <v>165</v>
      </c>
      <c r="C203" t="s">
        <v>166</v>
      </c>
      <c r="D203" t="s">
        <v>178</v>
      </c>
      <c r="E203" t="s">
        <v>180</v>
      </c>
      <c r="F203" t="s">
        <v>183</v>
      </c>
      <c r="G203" t="s">
        <v>169</v>
      </c>
      <c r="H203">
        <v>566</v>
      </c>
      <c r="I203" s="34">
        <f>+POWER_Regional_Daily_20150101_20190305_c11b3312[[#This Row],[Column8]]/100</f>
        <v>5.66</v>
      </c>
      <c r="J203" s="34"/>
    </row>
    <row r="204" spans="1:10" x14ac:dyDescent="0.25">
      <c r="A204" s="34" t="s">
        <v>164</v>
      </c>
      <c r="B204" s="34" t="s">
        <v>165</v>
      </c>
      <c r="C204" t="s">
        <v>166</v>
      </c>
      <c r="D204" t="s">
        <v>178</v>
      </c>
      <c r="E204" t="s">
        <v>182</v>
      </c>
      <c r="F204" t="s">
        <v>183</v>
      </c>
      <c r="G204" t="s">
        <v>169</v>
      </c>
      <c r="H204">
        <v>554</v>
      </c>
      <c r="I204" s="34">
        <f>+POWER_Regional_Daily_20150101_20190305_c11b3312[[#This Row],[Column8]]/100</f>
        <v>5.54</v>
      </c>
      <c r="J204" s="34"/>
    </row>
    <row r="205" spans="1:10" x14ac:dyDescent="0.25">
      <c r="A205" s="34" t="s">
        <v>164</v>
      </c>
      <c r="B205" s="34" t="s">
        <v>165</v>
      </c>
      <c r="C205" t="s">
        <v>166</v>
      </c>
      <c r="D205" t="s">
        <v>178</v>
      </c>
      <c r="E205" t="s">
        <v>184</v>
      </c>
      <c r="F205" t="s">
        <v>204</v>
      </c>
      <c r="G205" t="s">
        <v>169</v>
      </c>
      <c r="H205">
        <v>425</v>
      </c>
      <c r="I205" s="34">
        <f>+POWER_Regional_Daily_20150101_20190305_c11b3312[[#This Row],[Column8]]/100</f>
        <v>4.25</v>
      </c>
      <c r="J205" s="34"/>
    </row>
    <row r="206" spans="1:10" x14ac:dyDescent="0.25">
      <c r="A206" s="34" t="s">
        <v>164</v>
      </c>
      <c r="B206" s="34" t="s">
        <v>165</v>
      </c>
      <c r="C206" t="s">
        <v>166</v>
      </c>
      <c r="D206" t="s">
        <v>178</v>
      </c>
      <c r="E206" t="s">
        <v>186</v>
      </c>
      <c r="F206" t="s">
        <v>246</v>
      </c>
      <c r="G206" t="s">
        <v>169</v>
      </c>
      <c r="H206">
        <v>379</v>
      </c>
      <c r="I206" s="34">
        <f>+POWER_Regional_Daily_20150101_20190305_c11b3312[[#This Row],[Column8]]/100</f>
        <v>3.79</v>
      </c>
      <c r="J206" s="34"/>
    </row>
    <row r="207" spans="1:10" x14ac:dyDescent="0.25">
      <c r="A207" s="34" t="s">
        <v>164</v>
      </c>
      <c r="B207" s="34" t="s">
        <v>165</v>
      </c>
      <c r="C207" t="s">
        <v>166</v>
      </c>
      <c r="D207" t="s">
        <v>178</v>
      </c>
      <c r="E207" t="s">
        <v>188</v>
      </c>
      <c r="F207" t="s">
        <v>211</v>
      </c>
      <c r="G207" t="s">
        <v>169</v>
      </c>
      <c r="H207">
        <v>410</v>
      </c>
      <c r="I207" s="34">
        <f>+POWER_Regional_Daily_20150101_20190305_c11b3312[[#This Row],[Column8]]/100</f>
        <v>4.0999999999999996</v>
      </c>
      <c r="J207" s="34"/>
    </row>
    <row r="208" spans="1:10" x14ac:dyDescent="0.25">
      <c r="A208" s="34" t="s">
        <v>164</v>
      </c>
      <c r="B208" s="34" t="s">
        <v>165</v>
      </c>
      <c r="C208" t="s">
        <v>166</v>
      </c>
      <c r="D208" t="s">
        <v>178</v>
      </c>
      <c r="E208" t="s">
        <v>190</v>
      </c>
      <c r="F208" t="s">
        <v>189</v>
      </c>
      <c r="G208" t="s">
        <v>169</v>
      </c>
      <c r="H208">
        <v>589</v>
      </c>
      <c r="I208" s="34">
        <f>+POWER_Regional_Daily_20150101_20190305_c11b3312[[#This Row],[Column8]]/100</f>
        <v>5.89</v>
      </c>
      <c r="J208" s="34"/>
    </row>
    <row r="209" spans="1:10" x14ac:dyDescent="0.25">
      <c r="A209" s="34" t="s">
        <v>164</v>
      </c>
      <c r="B209" s="34" t="s">
        <v>165</v>
      </c>
      <c r="C209" t="s">
        <v>166</v>
      </c>
      <c r="D209" t="s">
        <v>178</v>
      </c>
      <c r="E209" t="s">
        <v>192</v>
      </c>
      <c r="F209" t="s">
        <v>195</v>
      </c>
      <c r="G209" t="s">
        <v>169</v>
      </c>
      <c r="H209">
        <v>466</v>
      </c>
      <c r="I209" s="34">
        <f>+POWER_Regional_Daily_20150101_20190305_c11b3312[[#This Row],[Column8]]/100</f>
        <v>4.66</v>
      </c>
      <c r="J209" s="34"/>
    </row>
    <row r="210" spans="1:10" x14ac:dyDescent="0.25">
      <c r="A210" s="34" t="s">
        <v>164</v>
      </c>
      <c r="B210" s="34" t="s">
        <v>165</v>
      </c>
      <c r="C210" t="s">
        <v>166</v>
      </c>
      <c r="D210" t="s">
        <v>178</v>
      </c>
      <c r="E210" t="s">
        <v>194</v>
      </c>
      <c r="F210" t="s">
        <v>191</v>
      </c>
      <c r="G210" t="s">
        <v>169</v>
      </c>
      <c r="H210">
        <v>336</v>
      </c>
      <c r="I210" s="34">
        <f>+POWER_Regional_Daily_20150101_20190305_c11b3312[[#This Row],[Column8]]/100</f>
        <v>3.36</v>
      </c>
      <c r="J210" s="34"/>
    </row>
    <row r="211" spans="1:10" x14ac:dyDescent="0.25">
      <c r="A211" s="34" t="s">
        <v>164</v>
      </c>
      <c r="B211" s="34" t="s">
        <v>165</v>
      </c>
      <c r="C211" t="s">
        <v>166</v>
      </c>
      <c r="D211" t="s">
        <v>178</v>
      </c>
      <c r="E211" t="s">
        <v>196</v>
      </c>
      <c r="F211" t="s">
        <v>201</v>
      </c>
      <c r="G211" t="s">
        <v>169</v>
      </c>
      <c r="H211">
        <v>529</v>
      </c>
      <c r="I211" s="34">
        <f>+POWER_Regional_Daily_20150101_20190305_c11b3312[[#This Row],[Column8]]/100</f>
        <v>5.29</v>
      </c>
      <c r="J211" s="34"/>
    </row>
    <row r="212" spans="1:10" x14ac:dyDescent="0.25">
      <c r="A212" s="34" t="s">
        <v>164</v>
      </c>
      <c r="B212" s="34" t="s">
        <v>165</v>
      </c>
      <c r="C212" t="s">
        <v>166</v>
      </c>
      <c r="D212" t="s">
        <v>178</v>
      </c>
      <c r="E212" t="s">
        <v>198</v>
      </c>
      <c r="F212" t="s">
        <v>232</v>
      </c>
      <c r="G212" t="s">
        <v>169</v>
      </c>
      <c r="H212">
        <v>592</v>
      </c>
      <c r="I212" s="34">
        <f>+POWER_Regional_Daily_20150101_20190305_c11b3312[[#This Row],[Column8]]/100</f>
        <v>5.92</v>
      </c>
      <c r="J212" s="34"/>
    </row>
    <row r="213" spans="1:10" x14ac:dyDescent="0.25">
      <c r="A213" s="34" t="s">
        <v>164</v>
      </c>
      <c r="B213" s="34" t="s">
        <v>165</v>
      </c>
      <c r="C213" t="s">
        <v>166</v>
      </c>
      <c r="D213" t="s">
        <v>178</v>
      </c>
      <c r="E213" t="s">
        <v>199</v>
      </c>
      <c r="F213" t="s">
        <v>224</v>
      </c>
      <c r="G213" t="s">
        <v>169</v>
      </c>
      <c r="H213">
        <v>449</v>
      </c>
      <c r="I213" s="34">
        <f>+POWER_Regional_Daily_20150101_20190305_c11b3312[[#This Row],[Column8]]/100</f>
        <v>4.49</v>
      </c>
      <c r="J213" s="34"/>
    </row>
    <row r="214" spans="1:10" x14ac:dyDescent="0.25">
      <c r="A214" s="34" t="s">
        <v>164</v>
      </c>
      <c r="B214" s="34" t="s">
        <v>165</v>
      </c>
      <c r="C214" t="s">
        <v>166</v>
      </c>
      <c r="D214" t="s">
        <v>178</v>
      </c>
      <c r="E214" t="s">
        <v>200</v>
      </c>
      <c r="F214" t="s">
        <v>233</v>
      </c>
      <c r="G214" t="s">
        <v>169</v>
      </c>
      <c r="H214">
        <v>454</v>
      </c>
      <c r="I214" s="34">
        <f>+POWER_Regional_Daily_20150101_20190305_c11b3312[[#This Row],[Column8]]/100</f>
        <v>4.54</v>
      </c>
      <c r="J214" s="34"/>
    </row>
    <row r="215" spans="1:10" x14ac:dyDescent="0.25">
      <c r="A215" s="34" t="s">
        <v>164</v>
      </c>
      <c r="B215" s="34" t="s">
        <v>165</v>
      </c>
      <c r="C215" t="s">
        <v>166</v>
      </c>
      <c r="D215" t="s">
        <v>178</v>
      </c>
      <c r="E215" t="s">
        <v>202</v>
      </c>
      <c r="F215" t="s">
        <v>195</v>
      </c>
      <c r="G215" t="s">
        <v>169</v>
      </c>
      <c r="H215">
        <v>464</v>
      </c>
      <c r="I215" s="34">
        <f>+POWER_Regional_Daily_20150101_20190305_c11b3312[[#This Row],[Column8]]/100</f>
        <v>4.6399999999999997</v>
      </c>
      <c r="J215" s="34"/>
    </row>
    <row r="216" spans="1:10" x14ac:dyDescent="0.25">
      <c r="A216" s="34" t="s">
        <v>164</v>
      </c>
      <c r="B216" s="34" t="s">
        <v>165</v>
      </c>
      <c r="C216" t="s">
        <v>166</v>
      </c>
      <c r="D216" t="s">
        <v>178</v>
      </c>
      <c r="E216" t="s">
        <v>203</v>
      </c>
      <c r="F216" t="s">
        <v>222</v>
      </c>
      <c r="G216" t="s">
        <v>169</v>
      </c>
      <c r="H216">
        <v>531</v>
      </c>
      <c r="I216" s="34">
        <f>+POWER_Regional_Daily_20150101_20190305_c11b3312[[#This Row],[Column8]]/100</f>
        <v>5.31</v>
      </c>
      <c r="J216" s="34"/>
    </row>
    <row r="217" spans="1:10" x14ac:dyDescent="0.25">
      <c r="A217" s="34" t="s">
        <v>164</v>
      </c>
      <c r="B217" s="34" t="s">
        <v>165</v>
      </c>
      <c r="C217" t="s">
        <v>166</v>
      </c>
      <c r="D217" t="s">
        <v>178</v>
      </c>
      <c r="E217" t="s">
        <v>205</v>
      </c>
      <c r="F217" t="s">
        <v>187</v>
      </c>
      <c r="G217" t="s">
        <v>169</v>
      </c>
      <c r="H217">
        <v>-999</v>
      </c>
      <c r="I217" s="34">
        <f>+POWER_Regional_Daily_20150101_20190305_c11b3312[[#This Row],[Column8]]/100</f>
        <v>-9.99</v>
      </c>
      <c r="J217" s="34"/>
    </row>
    <row r="218" spans="1:10" x14ac:dyDescent="0.25">
      <c r="A218" s="34" t="s">
        <v>164</v>
      </c>
      <c r="B218" s="34" t="s">
        <v>165</v>
      </c>
      <c r="C218" t="s">
        <v>166</v>
      </c>
      <c r="D218" t="s">
        <v>178</v>
      </c>
      <c r="E218" t="s">
        <v>207</v>
      </c>
      <c r="F218" t="s">
        <v>229</v>
      </c>
      <c r="G218" t="s">
        <v>169</v>
      </c>
      <c r="H218">
        <v>349</v>
      </c>
      <c r="I218" s="34">
        <f>+POWER_Regional_Daily_20150101_20190305_c11b3312[[#This Row],[Column8]]/100</f>
        <v>3.49</v>
      </c>
      <c r="J218" s="34"/>
    </row>
    <row r="219" spans="1:10" x14ac:dyDescent="0.25">
      <c r="A219" s="34" t="s">
        <v>164</v>
      </c>
      <c r="B219" s="34" t="s">
        <v>165</v>
      </c>
      <c r="C219" t="s">
        <v>166</v>
      </c>
      <c r="D219" t="s">
        <v>178</v>
      </c>
      <c r="E219" t="s">
        <v>208</v>
      </c>
      <c r="F219" t="s">
        <v>173</v>
      </c>
      <c r="G219" t="s">
        <v>169</v>
      </c>
      <c r="H219">
        <v>688</v>
      </c>
      <c r="I219" s="34">
        <f>+POWER_Regional_Daily_20150101_20190305_c11b3312[[#This Row],[Column8]]/100</f>
        <v>6.88</v>
      </c>
      <c r="J219" s="34"/>
    </row>
    <row r="220" spans="1:10" x14ac:dyDescent="0.25">
      <c r="A220" s="34" t="s">
        <v>164</v>
      </c>
      <c r="B220" s="34" t="s">
        <v>165</v>
      </c>
      <c r="C220" t="s">
        <v>166</v>
      </c>
      <c r="D220" t="s">
        <v>178</v>
      </c>
      <c r="E220" t="s">
        <v>210</v>
      </c>
      <c r="F220" t="s">
        <v>189</v>
      </c>
      <c r="G220" t="s">
        <v>169</v>
      </c>
      <c r="H220">
        <v>577</v>
      </c>
      <c r="I220" s="34">
        <f>+POWER_Regional_Daily_20150101_20190305_c11b3312[[#This Row],[Column8]]/100</f>
        <v>5.77</v>
      </c>
      <c r="J220" s="34"/>
    </row>
    <row r="221" spans="1:10" x14ac:dyDescent="0.25">
      <c r="A221" s="34" t="s">
        <v>164</v>
      </c>
      <c r="B221" s="34" t="s">
        <v>165</v>
      </c>
      <c r="C221" t="s">
        <v>166</v>
      </c>
      <c r="D221" t="s">
        <v>178</v>
      </c>
      <c r="E221" t="s">
        <v>212</v>
      </c>
      <c r="F221" t="s">
        <v>235</v>
      </c>
      <c r="G221" t="s">
        <v>169</v>
      </c>
      <c r="H221">
        <v>496</v>
      </c>
      <c r="I221" s="34">
        <f>+POWER_Regional_Daily_20150101_20190305_c11b3312[[#This Row],[Column8]]/100</f>
        <v>4.96</v>
      </c>
      <c r="J221" s="34"/>
    </row>
    <row r="222" spans="1:10" x14ac:dyDescent="0.25">
      <c r="A222" s="34" t="s">
        <v>164</v>
      </c>
      <c r="B222" s="34" t="s">
        <v>165</v>
      </c>
      <c r="C222" t="s">
        <v>166</v>
      </c>
      <c r="D222" t="s">
        <v>178</v>
      </c>
      <c r="E222" t="s">
        <v>214</v>
      </c>
      <c r="F222" t="s">
        <v>236</v>
      </c>
      <c r="G222" t="s">
        <v>169</v>
      </c>
      <c r="H222">
        <v>523</v>
      </c>
      <c r="I222" s="34">
        <f>+POWER_Regional_Daily_20150101_20190305_c11b3312[[#This Row],[Column8]]/100</f>
        <v>5.23</v>
      </c>
      <c r="J222" s="34"/>
    </row>
    <row r="223" spans="1:10" x14ac:dyDescent="0.25">
      <c r="A223" s="34" t="s">
        <v>164</v>
      </c>
      <c r="B223" s="34" t="s">
        <v>165</v>
      </c>
      <c r="C223" t="s">
        <v>166</v>
      </c>
      <c r="D223" t="s">
        <v>178</v>
      </c>
      <c r="E223" t="s">
        <v>215</v>
      </c>
      <c r="F223" t="s">
        <v>209</v>
      </c>
      <c r="G223" t="s">
        <v>169</v>
      </c>
      <c r="H223">
        <v>503</v>
      </c>
      <c r="I223" s="34">
        <f>+POWER_Regional_Daily_20150101_20190305_c11b3312[[#This Row],[Column8]]/100</f>
        <v>5.03</v>
      </c>
      <c r="J223" s="34"/>
    </row>
    <row r="224" spans="1:10" x14ac:dyDescent="0.25">
      <c r="A224" s="34" t="s">
        <v>164</v>
      </c>
      <c r="B224" s="34" t="s">
        <v>165</v>
      </c>
      <c r="C224" t="s">
        <v>166</v>
      </c>
      <c r="D224" t="s">
        <v>178</v>
      </c>
      <c r="E224" t="s">
        <v>217</v>
      </c>
      <c r="F224" t="s">
        <v>183</v>
      </c>
      <c r="G224" t="s">
        <v>169</v>
      </c>
      <c r="H224">
        <v>581</v>
      </c>
      <c r="I224" s="34">
        <f>+POWER_Regional_Daily_20150101_20190305_c11b3312[[#This Row],[Column8]]/100</f>
        <v>5.81</v>
      </c>
      <c r="J224" s="34"/>
    </row>
    <row r="225" spans="1:10" x14ac:dyDescent="0.25">
      <c r="A225" s="34" t="s">
        <v>164</v>
      </c>
      <c r="B225" s="34" t="s">
        <v>165</v>
      </c>
      <c r="C225" t="s">
        <v>166</v>
      </c>
      <c r="D225" t="s">
        <v>178</v>
      </c>
      <c r="E225" t="s">
        <v>219</v>
      </c>
      <c r="F225" t="s">
        <v>197</v>
      </c>
      <c r="G225" t="s">
        <v>169</v>
      </c>
      <c r="H225">
        <v>442</v>
      </c>
      <c r="I225" s="34">
        <f>+POWER_Regional_Daily_20150101_20190305_c11b3312[[#This Row],[Column8]]/100</f>
        <v>4.42</v>
      </c>
      <c r="J225" s="34"/>
    </row>
    <row r="226" spans="1:10" x14ac:dyDescent="0.25">
      <c r="A226" s="34" t="s">
        <v>164</v>
      </c>
      <c r="B226" s="34" t="s">
        <v>165</v>
      </c>
      <c r="C226" t="s">
        <v>166</v>
      </c>
      <c r="D226" t="s">
        <v>178</v>
      </c>
      <c r="E226" t="s">
        <v>220</v>
      </c>
      <c r="F226" t="s">
        <v>204</v>
      </c>
      <c r="G226" t="s">
        <v>169</v>
      </c>
      <c r="H226">
        <v>432</v>
      </c>
      <c r="I226" s="34">
        <f>+POWER_Regional_Daily_20150101_20190305_c11b3312[[#This Row],[Column8]]/100</f>
        <v>4.32</v>
      </c>
      <c r="J226" s="34"/>
    </row>
    <row r="227" spans="1:10" x14ac:dyDescent="0.25">
      <c r="A227" s="34" t="s">
        <v>164</v>
      </c>
      <c r="B227" s="34" t="s">
        <v>165</v>
      </c>
      <c r="C227" t="s">
        <v>166</v>
      </c>
      <c r="D227" t="s">
        <v>180</v>
      </c>
      <c r="E227" t="s">
        <v>167</v>
      </c>
      <c r="F227" t="s">
        <v>201</v>
      </c>
      <c r="G227" t="s">
        <v>169</v>
      </c>
      <c r="H227">
        <v>527</v>
      </c>
      <c r="I227" s="34">
        <f>+POWER_Regional_Daily_20150101_20190305_c11b3312[[#This Row],[Column8]]/100</f>
        <v>5.27</v>
      </c>
      <c r="J227" s="34"/>
    </row>
    <row r="228" spans="1:10" x14ac:dyDescent="0.25">
      <c r="A228" s="34" t="s">
        <v>164</v>
      </c>
      <c r="B228" s="34" t="s">
        <v>165</v>
      </c>
      <c r="C228" t="s">
        <v>166</v>
      </c>
      <c r="D228" t="s">
        <v>180</v>
      </c>
      <c r="E228" t="s">
        <v>170</v>
      </c>
      <c r="F228" t="s">
        <v>235</v>
      </c>
      <c r="G228" t="s">
        <v>169</v>
      </c>
      <c r="H228">
        <v>495</v>
      </c>
      <c r="I228" s="34">
        <f>+POWER_Regional_Daily_20150101_20190305_c11b3312[[#This Row],[Column8]]/100</f>
        <v>4.95</v>
      </c>
      <c r="J228" s="34"/>
    </row>
    <row r="229" spans="1:10" x14ac:dyDescent="0.25">
      <c r="A229" s="34" t="s">
        <v>164</v>
      </c>
      <c r="B229" s="34" t="s">
        <v>165</v>
      </c>
      <c r="C229" t="s">
        <v>166</v>
      </c>
      <c r="D229" t="s">
        <v>180</v>
      </c>
      <c r="E229" t="s">
        <v>172</v>
      </c>
      <c r="F229" t="s">
        <v>185</v>
      </c>
      <c r="G229" t="s">
        <v>169</v>
      </c>
      <c r="H229">
        <v>609</v>
      </c>
      <c r="I229" s="34">
        <f>+POWER_Regional_Daily_20150101_20190305_c11b3312[[#This Row],[Column8]]/100</f>
        <v>6.09</v>
      </c>
      <c r="J229" s="34"/>
    </row>
    <row r="230" spans="1:10" x14ac:dyDescent="0.25">
      <c r="A230" s="34" t="s">
        <v>164</v>
      </c>
      <c r="B230" s="34" t="s">
        <v>165</v>
      </c>
      <c r="C230" t="s">
        <v>166</v>
      </c>
      <c r="D230" t="s">
        <v>180</v>
      </c>
      <c r="E230" t="s">
        <v>174</v>
      </c>
      <c r="F230" t="s">
        <v>189</v>
      </c>
      <c r="G230" t="s">
        <v>169</v>
      </c>
      <c r="H230">
        <v>596</v>
      </c>
      <c r="I230" s="34">
        <f>+POWER_Regional_Daily_20150101_20190305_c11b3312[[#This Row],[Column8]]/100</f>
        <v>5.96</v>
      </c>
      <c r="J230" s="34"/>
    </row>
    <row r="231" spans="1:10" x14ac:dyDescent="0.25">
      <c r="A231" s="34" t="s">
        <v>164</v>
      </c>
      <c r="B231" s="34" t="s">
        <v>165</v>
      </c>
      <c r="C231" t="s">
        <v>166</v>
      </c>
      <c r="D231" t="s">
        <v>180</v>
      </c>
      <c r="E231" t="s">
        <v>175</v>
      </c>
      <c r="F231" t="s">
        <v>168</v>
      </c>
      <c r="G231" t="s">
        <v>169</v>
      </c>
      <c r="H231">
        <v>628</v>
      </c>
      <c r="I231" s="34">
        <f>+POWER_Regional_Daily_20150101_20190305_c11b3312[[#This Row],[Column8]]/100</f>
        <v>6.28</v>
      </c>
      <c r="J231" s="34"/>
    </row>
    <row r="232" spans="1:10" x14ac:dyDescent="0.25">
      <c r="A232" s="34" t="s">
        <v>164</v>
      </c>
      <c r="B232" s="34" t="s">
        <v>165</v>
      </c>
      <c r="C232" t="s">
        <v>166</v>
      </c>
      <c r="D232" t="s">
        <v>180</v>
      </c>
      <c r="E232" t="s">
        <v>177</v>
      </c>
      <c r="F232" t="s">
        <v>238</v>
      </c>
      <c r="G232" t="s">
        <v>304</v>
      </c>
      <c r="H232">
        <v>623</v>
      </c>
      <c r="I232" s="34">
        <f>+POWER_Regional_Daily_20150101_20190305_c11b3312[[#This Row],[Column8]]/100</f>
        <v>6.23</v>
      </c>
      <c r="J232" s="34"/>
    </row>
    <row r="233" spans="1:10" x14ac:dyDescent="0.25">
      <c r="A233" s="34" t="s">
        <v>164</v>
      </c>
      <c r="B233" s="34" t="s">
        <v>165</v>
      </c>
      <c r="C233" t="s">
        <v>166</v>
      </c>
      <c r="D233" t="s">
        <v>180</v>
      </c>
      <c r="E233" t="s">
        <v>178</v>
      </c>
      <c r="F233" t="s">
        <v>187</v>
      </c>
      <c r="G233" t="s">
        <v>169</v>
      </c>
      <c r="H233">
        <v>-999</v>
      </c>
      <c r="I233" s="34">
        <f>+POWER_Regional_Daily_20150101_20190305_c11b3312[[#This Row],[Column8]]/100</f>
        <v>-9.99</v>
      </c>
      <c r="J233" s="34"/>
    </row>
    <row r="234" spans="1:10" x14ac:dyDescent="0.25">
      <c r="A234" s="34" t="s">
        <v>164</v>
      </c>
      <c r="B234" s="34" t="s">
        <v>165</v>
      </c>
      <c r="C234" t="s">
        <v>166</v>
      </c>
      <c r="D234" t="s">
        <v>180</v>
      </c>
      <c r="E234" t="s">
        <v>180</v>
      </c>
      <c r="F234" t="s">
        <v>230</v>
      </c>
      <c r="G234" t="s">
        <v>169</v>
      </c>
      <c r="H234">
        <v>379</v>
      </c>
      <c r="I234" s="34">
        <f>+POWER_Regional_Daily_20150101_20190305_c11b3312[[#This Row],[Column8]]/100</f>
        <v>3.79</v>
      </c>
      <c r="J234" s="34"/>
    </row>
    <row r="235" spans="1:10" x14ac:dyDescent="0.25">
      <c r="A235" s="34" t="s">
        <v>164</v>
      </c>
      <c r="B235" s="34" t="s">
        <v>165</v>
      </c>
      <c r="C235" t="s">
        <v>166</v>
      </c>
      <c r="D235" t="s">
        <v>180</v>
      </c>
      <c r="E235" t="s">
        <v>182</v>
      </c>
      <c r="F235" t="s">
        <v>237</v>
      </c>
      <c r="G235" t="s">
        <v>169</v>
      </c>
      <c r="H235">
        <v>271</v>
      </c>
      <c r="I235" s="34">
        <f>+POWER_Regional_Daily_20150101_20190305_c11b3312[[#This Row],[Column8]]/100</f>
        <v>2.71</v>
      </c>
      <c r="J235" s="34"/>
    </row>
    <row r="236" spans="1:10" x14ac:dyDescent="0.25">
      <c r="A236" s="34" t="s">
        <v>164</v>
      </c>
      <c r="B236" s="34" t="s">
        <v>165</v>
      </c>
      <c r="C236" t="s">
        <v>166</v>
      </c>
      <c r="D236" t="s">
        <v>180</v>
      </c>
      <c r="E236" t="s">
        <v>184</v>
      </c>
      <c r="F236" t="s">
        <v>209</v>
      </c>
      <c r="G236" t="s">
        <v>169</v>
      </c>
      <c r="H236">
        <v>514</v>
      </c>
      <c r="I236" s="34">
        <f>+POWER_Regional_Daily_20150101_20190305_c11b3312[[#This Row],[Column8]]/100</f>
        <v>5.14</v>
      </c>
      <c r="J236" s="34"/>
    </row>
    <row r="237" spans="1:10" x14ac:dyDescent="0.25">
      <c r="A237" s="34" t="s">
        <v>164</v>
      </c>
      <c r="B237" s="34" t="s">
        <v>165</v>
      </c>
      <c r="C237" t="s">
        <v>166</v>
      </c>
      <c r="D237" t="s">
        <v>180</v>
      </c>
      <c r="E237" t="s">
        <v>186</v>
      </c>
      <c r="F237" t="s">
        <v>233</v>
      </c>
      <c r="G237" t="s">
        <v>169</v>
      </c>
      <c r="H237">
        <v>466</v>
      </c>
      <c r="I237" s="34">
        <f>+POWER_Regional_Daily_20150101_20190305_c11b3312[[#This Row],[Column8]]/100</f>
        <v>4.66</v>
      </c>
      <c r="J237" s="34"/>
    </row>
    <row r="238" spans="1:10" x14ac:dyDescent="0.25">
      <c r="A238" s="34" t="s">
        <v>164</v>
      </c>
      <c r="B238" s="34" t="s">
        <v>165</v>
      </c>
      <c r="C238" t="s">
        <v>166</v>
      </c>
      <c r="D238" t="s">
        <v>180</v>
      </c>
      <c r="E238" t="s">
        <v>188</v>
      </c>
      <c r="F238" t="s">
        <v>201</v>
      </c>
      <c r="G238" t="s">
        <v>169</v>
      </c>
      <c r="H238">
        <v>533</v>
      </c>
      <c r="I238" s="34">
        <f>+POWER_Regional_Daily_20150101_20190305_c11b3312[[#This Row],[Column8]]/100</f>
        <v>5.33</v>
      </c>
      <c r="J238" s="34"/>
    </row>
    <row r="239" spans="1:10" x14ac:dyDescent="0.25">
      <c r="A239" s="34" t="s">
        <v>164</v>
      </c>
      <c r="B239" s="34" t="s">
        <v>165</v>
      </c>
      <c r="C239" t="s">
        <v>166</v>
      </c>
      <c r="D239" t="s">
        <v>180</v>
      </c>
      <c r="E239" t="s">
        <v>190</v>
      </c>
      <c r="F239" t="s">
        <v>206</v>
      </c>
      <c r="G239" t="s">
        <v>169</v>
      </c>
      <c r="H239">
        <v>396</v>
      </c>
      <c r="I239" s="34">
        <f>+POWER_Regional_Daily_20150101_20190305_c11b3312[[#This Row],[Column8]]/100</f>
        <v>3.96</v>
      </c>
      <c r="J239" s="34"/>
    </row>
    <row r="240" spans="1:10" x14ac:dyDescent="0.25">
      <c r="A240" s="34" t="s">
        <v>164</v>
      </c>
      <c r="B240" s="34" t="s">
        <v>165</v>
      </c>
      <c r="C240" t="s">
        <v>166</v>
      </c>
      <c r="D240" t="s">
        <v>180</v>
      </c>
      <c r="E240" t="s">
        <v>192</v>
      </c>
      <c r="F240" t="s">
        <v>225</v>
      </c>
      <c r="G240" t="s">
        <v>169</v>
      </c>
      <c r="H240">
        <v>306</v>
      </c>
      <c r="I240" s="34">
        <f>+POWER_Regional_Daily_20150101_20190305_c11b3312[[#This Row],[Column8]]/100</f>
        <v>3.06</v>
      </c>
      <c r="J240" s="34"/>
    </row>
    <row r="241" spans="1:10" x14ac:dyDescent="0.25">
      <c r="A241" s="34" t="s">
        <v>164</v>
      </c>
      <c r="B241" s="34" t="s">
        <v>165</v>
      </c>
      <c r="C241" t="s">
        <v>166</v>
      </c>
      <c r="D241" t="s">
        <v>180</v>
      </c>
      <c r="E241" t="s">
        <v>194</v>
      </c>
      <c r="F241" t="s">
        <v>197</v>
      </c>
      <c r="G241" t="s">
        <v>169</v>
      </c>
      <c r="H241">
        <v>455</v>
      </c>
      <c r="I241" s="34">
        <f>+POWER_Regional_Daily_20150101_20190305_c11b3312[[#This Row],[Column8]]/100</f>
        <v>4.55</v>
      </c>
      <c r="J241" s="34"/>
    </row>
    <row r="242" spans="1:10" x14ac:dyDescent="0.25">
      <c r="A242" s="34" t="s">
        <v>164</v>
      </c>
      <c r="B242" s="34" t="s">
        <v>165</v>
      </c>
      <c r="C242" t="s">
        <v>166</v>
      </c>
      <c r="D242" t="s">
        <v>180</v>
      </c>
      <c r="E242" t="s">
        <v>196</v>
      </c>
      <c r="F242" t="s">
        <v>191</v>
      </c>
      <c r="G242" t="s">
        <v>169</v>
      </c>
      <c r="H242">
        <v>348</v>
      </c>
      <c r="I242" s="34">
        <f>+POWER_Regional_Daily_20150101_20190305_c11b3312[[#This Row],[Column8]]/100</f>
        <v>3.48</v>
      </c>
      <c r="J242" s="34"/>
    </row>
    <row r="243" spans="1:10" x14ac:dyDescent="0.25">
      <c r="A243" s="34" t="s">
        <v>164</v>
      </c>
      <c r="B243" s="34" t="s">
        <v>165</v>
      </c>
      <c r="C243" t="s">
        <v>166</v>
      </c>
      <c r="D243" t="s">
        <v>180</v>
      </c>
      <c r="E243" t="s">
        <v>198</v>
      </c>
      <c r="F243" t="s">
        <v>233</v>
      </c>
      <c r="G243" t="s">
        <v>169</v>
      </c>
      <c r="H243">
        <v>475</v>
      </c>
      <c r="I243" s="34">
        <f>+POWER_Regional_Daily_20150101_20190305_c11b3312[[#This Row],[Column8]]/100</f>
        <v>4.75</v>
      </c>
      <c r="J243" s="34"/>
    </row>
    <row r="244" spans="1:10" x14ac:dyDescent="0.25">
      <c r="A244" s="34" t="s">
        <v>164</v>
      </c>
      <c r="B244" s="34" t="s">
        <v>165</v>
      </c>
      <c r="C244" t="s">
        <v>166</v>
      </c>
      <c r="D244" t="s">
        <v>180</v>
      </c>
      <c r="E244" t="s">
        <v>199</v>
      </c>
      <c r="F244" t="s">
        <v>232</v>
      </c>
      <c r="G244" t="s">
        <v>169</v>
      </c>
      <c r="H244">
        <v>622</v>
      </c>
      <c r="I244" s="34">
        <f>+POWER_Regional_Daily_20150101_20190305_c11b3312[[#This Row],[Column8]]/100</f>
        <v>6.22</v>
      </c>
      <c r="J244" s="34"/>
    </row>
    <row r="245" spans="1:10" x14ac:dyDescent="0.25">
      <c r="A245" s="34" t="s">
        <v>164</v>
      </c>
      <c r="B245" s="34" t="s">
        <v>165</v>
      </c>
      <c r="C245" t="s">
        <v>166</v>
      </c>
      <c r="D245" t="s">
        <v>180</v>
      </c>
      <c r="E245" t="s">
        <v>200</v>
      </c>
      <c r="F245" t="s">
        <v>168</v>
      </c>
      <c r="G245" t="s">
        <v>169</v>
      </c>
      <c r="H245">
        <v>625</v>
      </c>
      <c r="I245" s="34">
        <f>+POWER_Regional_Daily_20150101_20190305_c11b3312[[#This Row],[Column8]]/100</f>
        <v>6.25</v>
      </c>
      <c r="J245" s="34"/>
    </row>
    <row r="246" spans="1:10" x14ac:dyDescent="0.25">
      <c r="A246" s="34" t="s">
        <v>164</v>
      </c>
      <c r="B246" s="34" t="s">
        <v>165</v>
      </c>
      <c r="C246" t="s">
        <v>166</v>
      </c>
      <c r="D246" t="s">
        <v>180</v>
      </c>
      <c r="E246" t="s">
        <v>202</v>
      </c>
      <c r="F246" t="s">
        <v>183</v>
      </c>
      <c r="G246" t="s">
        <v>169</v>
      </c>
      <c r="H246">
        <v>581</v>
      </c>
      <c r="I246" s="34">
        <f>+POWER_Regional_Daily_20150101_20190305_c11b3312[[#This Row],[Column8]]/100</f>
        <v>5.81</v>
      </c>
      <c r="J246" s="34"/>
    </row>
    <row r="247" spans="1:10" x14ac:dyDescent="0.25">
      <c r="A247" s="34" t="s">
        <v>164</v>
      </c>
      <c r="B247" s="34" t="s">
        <v>165</v>
      </c>
      <c r="C247" t="s">
        <v>166</v>
      </c>
      <c r="D247" t="s">
        <v>180</v>
      </c>
      <c r="E247" t="s">
        <v>203</v>
      </c>
      <c r="F247" t="s">
        <v>201</v>
      </c>
      <c r="G247" t="s">
        <v>169</v>
      </c>
      <c r="H247">
        <v>539</v>
      </c>
      <c r="I247" s="34">
        <f>+POWER_Regional_Daily_20150101_20190305_c11b3312[[#This Row],[Column8]]/100</f>
        <v>5.39</v>
      </c>
      <c r="J247" s="34"/>
    </row>
    <row r="248" spans="1:10" x14ac:dyDescent="0.25">
      <c r="A248" s="34" t="s">
        <v>164</v>
      </c>
      <c r="B248" s="34" t="s">
        <v>165</v>
      </c>
      <c r="C248" t="s">
        <v>166</v>
      </c>
      <c r="D248" t="s">
        <v>180</v>
      </c>
      <c r="E248" t="s">
        <v>205</v>
      </c>
      <c r="F248" t="s">
        <v>233</v>
      </c>
      <c r="G248" t="s">
        <v>169</v>
      </c>
      <c r="H248">
        <v>465</v>
      </c>
      <c r="I248" s="34">
        <f>+POWER_Regional_Daily_20150101_20190305_c11b3312[[#This Row],[Column8]]/100</f>
        <v>4.6500000000000004</v>
      </c>
      <c r="J248" s="34"/>
    </row>
    <row r="249" spans="1:10" x14ac:dyDescent="0.25">
      <c r="A249" s="34" t="s">
        <v>164</v>
      </c>
      <c r="B249" s="34" t="s">
        <v>165</v>
      </c>
      <c r="C249" t="s">
        <v>166</v>
      </c>
      <c r="D249" t="s">
        <v>180</v>
      </c>
      <c r="E249" t="s">
        <v>207</v>
      </c>
      <c r="F249" t="s">
        <v>187</v>
      </c>
      <c r="G249" t="s">
        <v>169</v>
      </c>
      <c r="H249">
        <v>-999</v>
      </c>
      <c r="I249" s="34">
        <f>+POWER_Regional_Daily_20150101_20190305_c11b3312[[#This Row],[Column8]]/100</f>
        <v>-9.99</v>
      </c>
      <c r="J249" s="34"/>
    </row>
    <row r="250" spans="1:10" x14ac:dyDescent="0.25">
      <c r="A250" s="34" t="s">
        <v>164</v>
      </c>
      <c r="B250" s="34" t="s">
        <v>165</v>
      </c>
      <c r="C250" t="s">
        <v>166</v>
      </c>
      <c r="D250" t="s">
        <v>180</v>
      </c>
      <c r="E250" t="s">
        <v>208</v>
      </c>
      <c r="F250" t="s">
        <v>197</v>
      </c>
      <c r="G250" t="s">
        <v>169</v>
      </c>
      <c r="H250">
        <v>453</v>
      </c>
      <c r="I250" s="34">
        <f>+POWER_Regional_Daily_20150101_20190305_c11b3312[[#This Row],[Column8]]/100</f>
        <v>4.53</v>
      </c>
      <c r="J250" s="34"/>
    </row>
    <row r="251" spans="1:10" x14ac:dyDescent="0.25">
      <c r="A251" s="34" t="s">
        <v>164</v>
      </c>
      <c r="B251" s="34" t="s">
        <v>165</v>
      </c>
      <c r="C251" t="s">
        <v>166</v>
      </c>
      <c r="D251" t="s">
        <v>180</v>
      </c>
      <c r="E251" t="s">
        <v>210</v>
      </c>
      <c r="F251" t="s">
        <v>224</v>
      </c>
      <c r="G251" t="s">
        <v>169</v>
      </c>
      <c r="H251">
        <v>455</v>
      </c>
      <c r="I251" s="34">
        <f>+POWER_Regional_Daily_20150101_20190305_c11b3312[[#This Row],[Column8]]/100</f>
        <v>4.55</v>
      </c>
      <c r="J251" s="34"/>
    </row>
    <row r="252" spans="1:10" x14ac:dyDescent="0.25">
      <c r="A252" s="34" t="s">
        <v>164</v>
      </c>
      <c r="B252" s="34" t="s">
        <v>165</v>
      </c>
      <c r="C252" t="s">
        <v>166</v>
      </c>
      <c r="D252" t="s">
        <v>180</v>
      </c>
      <c r="E252" t="s">
        <v>212</v>
      </c>
      <c r="F252" t="s">
        <v>231</v>
      </c>
      <c r="G252" t="s">
        <v>169</v>
      </c>
      <c r="H252">
        <v>491</v>
      </c>
      <c r="I252" s="34">
        <f>+POWER_Regional_Daily_20150101_20190305_c11b3312[[#This Row],[Column8]]/100</f>
        <v>4.91</v>
      </c>
      <c r="J252" s="34"/>
    </row>
    <row r="253" spans="1:10" x14ac:dyDescent="0.25">
      <c r="A253" s="34" t="s">
        <v>164</v>
      </c>
      <c r="B253" s="34" t="s">
        <v>165</v>
      </c>
      <c r="C253" t="s">
        <v>166</v>
      </c>
      <c r="D253" t="s">
        <v>180</v>
      </c>
      <c r="E253" t="s">
        <v>214</v>
      </c>
      <c r="F253" t="s">
        <v>223</v>
      </c>
      <c r="G253" t="s">
        <v>169</v>
      </c>
      <c r="H253">
        <v>498</v>
      </c>
      <c r="I253" s="34">
        <f>+POWER_Regional_Daily_20150101_20190305_c11b3312[[#This Row],[Column8]]/100</f>
        <v>4.9800000000000004</v>
      </c>
      <c r="J253" s="34"/>
    </row>
    <row r="254" spans="1:10" x14ac:dyDescent="0.25">
      <c r="A254" s="34" t="s">
        <v>164</v>
      </c>
      <c r="B254" s="34" t="s">
        <v>165</v>
      </c>
      <c r="C254" t="s">
        <v>166</v>
      </c>
      <c r="D254" t="s">
        <v>180</v>
      </c>
      <c r="E254" t="s">
        <v>215</v>
      </c>
      <c r="F254" t="s">
        <v>189</v>
      </c>
      <c r="G254" t="s">
        <v>169</v>
      </c>
      <c r="H254">
        <v>605</v>
      </c>
      <c r="I254" s="34">
        <f>+POWER_Regional_Daily_20150101_20190305_c11b3312[[#This Row],[Column8]]/100</f>
        <v>6.05</v>
      </c>
      <c r="J254" s="34"/>
    </row>
    <row r="255" spans="1:10" x14ac:dyDescent="0.25">
      <c r="A255" s="34" t="s">
        <v>164</v>
      </c>
      <c r="B255" s="34" t="s">
        <v>165</v>
      </c>
      <c r="C255" t="s">
        <v>166</v>
      </c>
      <c r="D255" t="s">
        <v>180</v>
      </c>
      <c r="E255" t="s">
        <v>217</v>
      </c>
      <c r="F255" t="s">
        <v>181</v>
      </c>
      <c r="G255" t="s">
        <v>169</v>
      </c>
      <c r="H255">
        <v>570</v>
      </c>
      <c r="I255" s="34">
        <f>+POWER_Regional_Daily_20150101_20190305_c11b3312[[#This Row],[Column8]]/100</f>
        <v>5.7</v>
      </c>
      <c r="J255" s="34"/>
    </row>
    <row r="256" spans="1:10" x14ac:dyDescent="0.25">
      <c r="A256" s="34" t="s">
        <v>164</v>
      </c>
      <c r="B256" s="34" t="s">
        <v>165</v>
      </c>
      <c r="C256" t="s">
        <v>166</v>
      </c>
      <c r="D256" t="s">
        <v>180</v>
      </c>
      <c r="E256" t="s">
        <v>219</v>
      </c>
      <c r="F256" t="s">
        <v>181</v>
      </c>
      <c r="G256" t="s">
        <v>169</v>
      </c>
      <c r="H256">
        <v>578</v>
      </c>
      <c r="I256" s="34">
        <f>+POWER_Regional_Daily_20150101_20190305_c11b3312[[#This Row],[Column8]]/100</f>
        <v>5.78</v>
      </c>
      <c r="J256" s="34"/>
    </row>
    <row r="257" spans="1:10" x14ac:dyDescent="0.25">
      <c r="A257" s="34" t="s">
        <v>164</v>
      </c>
      <c r="B257" s="34" t="s">
        <v>165</v>
      </c>
      <c r="C257" t="s">
        <v>166</v>
      </c>
      <c r="D257" t="s">
        <v>180</v>
      </c>
      <c r="E257" t="s">
        <v>220</v>
      </c>
      <c r="F257" t="s">
        <v>223</v>
      </c>
      <c r="G257" t="s">
        <v>169</v>
      </c>
      <c r="H257">
        <v>501</v>
      </c>
      <c r="I257" s="34">
        <f>+POWER_Regional_Daily_20150101_20190305_c11b3312[[#This Row],[Column8]]/100</f>
        <v>5.01</v>
      </c>
      <c r="J257" s="34"/>
    </row>
    <row r="258" spans="1:10" x14ac:dyDescent="0.25">
      <c r="A258" s="34" t="s">
        <v>164</v>
      </c>
      <c r="B258" s="34" t="s">
        <v>165</v>
      </c>
      <c r="C258" t="s">
        <v>166</v>
      </c>
      <c r="D258" t="s">
        <v>182</v>
      </c>
      <c r="E258" t="s">
        <v>167</v>
      </c>
      <c r="F258" t="s">
        <v>211</v>
      </c>
      <c r="G258" t="s">
        <v>169</v>
      </c>
      <c r="H258">
        <v>430</v>
      </c>
      <c r="I258" s="34">
        <f>+POWER_Regional_Daily_20150101_20190305_c11b3312[[#This Row],[Column8]]/100</f>
        <v>4.3</v>
      </c>
      <c r="J258" s="34"/>
    </row>
    <row r="259" spans="1:10" x14ac:dyDescent="0.25">
      <c r="A259" s="34" t="s">
        <v>164</v>
      </c>
      <c r="B259" s="34" t="s">
        <v>165</v>
      </c>
      <c r="C259" t="s">
        <v>166</v>
      </c>
      <c r="D259" t="s">
        <v>182</v>
      </c>
      <c r="E259" t="s">
        <v>170</v>
      </c>
      <c r="F259" t="s">
        <v>195</v>
      </c>
      <c r="G259" t="s">
        <v>169</v>
      </c>
      <c r="H259">
        <v>489</v>
      </c>
      <c r="I259" s="34">
        <f>+POWER_Regional_Daily_20150101_20190305_c11b3312[[#This Row],[Column8]]/100</f>
        <v>4.8899999999999997</v>
      </c>
      <c r="J259" s="34"/>
    </row>
    <row r="260" spans="1:10" x14ac:dyDescent="0.25">
      <c r="A260" s="34" t="s">
        <v>164</v>
      </c>
      <c r="B260" s="34" t="s">
        <v>165</v>
      </c>
      <c r="C260" t="s">
        <v>166</v>
      </c>
      <c r="D260" t="s">
        <v>182</v>
      </c>
      <c r="E260" t="s">
        <v>172</v>
      </c>
      <c r="F260" t="s">
        <v>209</v>
      </c>
      <c r="G260" t="s">
        <v>169</v>
      </c>
      <c r="H260">
        <v>528</v>
      </c>
      <c r="I260" s="34">
        <f>+POWER_Regional_Daily_20150101_20190305_c11b3312[[#This Row],[Column8]]/100</f>
        <v>5.28</v>
      </c>
      <c r="J260" s="34"/>
    </row>
    <row r="261" spans="1:10" x14ac:dyDescent="0.25">
      <c r="A261" s="34" t="s">
        <v>164</v>
      </c>
      <c r="B261" s="34" t="s">
        <v>165</v>
      </c>
      <c r="C261" t="s">
        <v>166</v>
      </c>
      <c r="D261" t="s">
        <v>182</v>
      </c>
      <c r="E261" t="s">
        <v>174</v>
      </c>
      <c r="F261" t="s">
        <v>181</v>
      </c>
      <c r="G261" t="s">
        <v>169</v>
      </c>
      <c r="H261">
        <v>570</v>
      </c>
      <c r="I261" s="34">
        <f>+POWER_Regional_Daily_20150101_20190305_c11b3312[[#This Row],[Column8]]/100</f>
        <v>5.7</v>
      </c>
      <c r="J261" s="34"/>
    </row>
    <row r="262" spans="1:10" x14ac:dyDescent="0.25">
      <c r="A262" s="34" t="s">
        <v>164</v>
      </c>
      <c r="B262" s="34" t="s">
        <v>165</v>
      </c>
      <c r="C262" t="s">
        <v>166</v>
      </c>
      <c r="D262" t="s">
        <v>182</v>
      </c>
      <c r="E262" t="s">
        <v>175</v>
      </c>
      <c r="F262" t="s">
        <v>222</v>
      </c>
      <c r="G262" t="s">
        <v>169</v>
      </c>
      <c r="H262">
        <v>549</v>
      </c>
      <c r="I262" s="34">
        <f>+POWER_Regional_Daily_20150101_20190305_c11b3312[[#This Row],[Column8]]/100</f>
        <v>5.49</v>
      </c>
      <c r="J262" s="34"/>
    </row>
    <row r="263" spans="1:10" x14ac:dyDescent="0.25">
      <c r="A263" s="34" t="s">
        <v>164</v>
      </c>
      <c r="B263" s="34" t="s">
        <v>165</v>
      </c>
      <c r="C263" t="s">
        <v>166</v>
      </c>
      <c r="D263" t="s">
        <v>182</v>
      </c>
      <c r="E263" t="s">
        <v>177</v>
      </c>
      <c r="F263" t="s">
        <v>239</v>
      </c>
      <c r="G263" t="s">
        <v>169</v>
      </c>
      <c r="H263">
        <v>366</v>
      </c>
      <c r="I263" s="34">
        <f>+POWER_Regional_Daily_20150101_20190305_c11b3312[[#This Row],[Column8]]/100</f>
        <v>3.66</v>
      </c>
      <c r="J263" s="34"/>
    </row>
    <row r="264" spans="1:10" x14ac:dyDescent="0.25">
      <c r="A264" s="34" t="s">
        <v>164</v>
      </c>
      <c r="B264" s="34" t="s">
        <v>165</v>
      </c>
      <c r="C264" t="s">
        <v>166</v>
      </c>
      <c r="D264" t="s">
        <v>182</v>
      </c>
      <c r="E264" t="s">
        <v>178</v>
      </c>
      <c r="F264" t="s">
        <v>211</v>
      </c>
      <c r="G264" t="s">
        <v>169</v>
      </c>
      <c r="H264">
        <v>428</v>
      </c>
      <c r="I264" s="34">
        <f>+POWER_Regional_Daily_20150101_20190305_c11b3312[[#This Row],[Column8]]/100</f>
        <v>4.28</v>
      </c>
      <c r="J264" s="34"/>
    </row>
    <row r="265" spans="1:10" x14ac:dyDescent="0.25">
      <c r="A265" s="34" t="s">
        <v>164</v>
      </c>
      <c r="B265" s="34" t="s">
        <v>165</v>
      </c>
      <c r="C265" t="s">
        <v>166</v>
      </c>
      <c r="D265" t="s">
        <v>182</v>
      </c>
      <c r="E265" t="s">
        <v>180</v>
      </c>
      <c r="F265" t="s">
        <v>187</v>
      </c>
      <c r="G265" t="s">
        <v>169</v>
      </c>
      <c r="H265">
        <v>-999</v>
      </c>
      <c r="I265" s="34">
        <f>+POWER_Regional_Daily_20150101_20190305_c11b3312[[#This Row],[Column8]]/100</f>
        <v>-9.99</v>
      </c>
      <c r="J265" s="34"/>
    </row>
    <row r="266" spans="1:10" x14ac:dyDescent="0.25">
      <c r="A266" s="34" t="s">
        <v>164</v>
      </c>
      <c r="B266" s="34" t="s">
        <v>165</v>
      </c>
      <c r="C266" t="s">
        <v>166</v>
      </c>
      <c r="D266" t="s">
        <v>182</v>
      </c>
      <c r="E266" t="s">
        <v>182</v>
      </c>
      <c r="F266" t="s">
        <v>223</v>
      </c>
      <c r="G266" t="s">
        <v>169</v>
      </c>
      <c r="H266">
        <v>511</v>
      </c>
      <c r="I266" s="34">
        <f>+POWER_Regional_Daily_20150101_20190305_c11b3312[[#This Row],[Column8]]/100</f>
        <v>5.1100000000000003</v>
      </c>
      <c r="J266" s="34"/>
    </row>
    <row r="267" spans="1:10" x14ac:dyDescent="0.25">
      <c r="A267" s="34" t="s">
        <v>164</v>
      </c>
      <c r="B267" s="34" t="s">
        <v>165</v>
      </c>
      <c r="C267" t="s">
        <v>166</v>
      </c>
      <c r="D267" t="s">
        <v>182</v>
      </c>
      <c r="E267" t="s">
        <v>184</v>
      </c>
      <c r="F267" t="s">
        <v>243</v>
      </c>
      <c r="G267" t="s">
        <v>169</v>
      </c>
      <c r="H267">
        <v>322</v>
      </c>
      <c r="I267" s="34">
        <f>+POWER_Regional_Daily_20150101_20190305_c11b3312[[#This Row],[Column8]]/100</f>
        <v>3.22</v>
      </c>
      <c r="J267" s="34"/>
    </row>
    <row r="268" spans="1:10" x14ac:dyDescent="0.25">
      <c r="A268" s="34" t="s">
        <v>164</v>
      </c>
      <c r="B268" s="34" t="s">
        <v>165</v>
      </c>
      <c r="C268" t="s">
        <v>166</v>
      </c>
      <c r="D268" t="s">
        <v>182</v>
      </c>
      <c r="E268" t="s">
        <v>186</v>
      </c>
      <c r="F268" t="s">
        <v>228</v>
      </c>
      <c r="G268" t="s">
        <v>169</v>
      </c>
      <c r="H268">
        <v>268</v>
      </c>
      <c r="I268" s="34">
        <f>+POWER_Regional_Daily_20150101_20190305_c11b3312[[#This Row],[Column8]]/100</f>
        <v>2.68</v>
      </c>
      <c r="J268" s="34"/>
    </row>
    <row r="269" spans="1:10" x14ac:dyDescent="0.25">
      <c r="A269" s="34" t="s">
        <v>164</v>
      </c>
      <c r="B269" s="34" t="s">
        <v>165</v>
      </c>
      <c r="C269" t="s">
        <v>166</v>
      </c>
      <c r="D269" t="s">
        <v>182</v>
      </c>
      <c r="E269" t="s">
        <v>188</v>
      </c>
      <c r="F269" t="s">
        <v>250</v>
      </c>
      <c r="G269" t="s">
        <v>169</v>
      </c>
      <c r="H269">
        <v>668</v>
      </c>
      <c r="I269" s="34">
        <f>+POWER_Regional_Daily_20150101_20190305_c11b3312[[#This Row],[Column8]]/100</f>
        <v>6.68</v>
      </c>
      <c r="J269" s="34"/>
    </row>
    <row r="270" spans="1:10" x14ac:dyDescent="0.25">
      <c r="A270" s="34" t="s">
        <v>164</v>
      </c>
      <c r="B270" s="34" t="s">
        <v>165</v>
      </c>
      <c r="C270" t="s">
        <v>166</v>
      </c>
      <c r="D270" t="s">
        <v>182</v>
      </c>
      <c r="E270" t="s">
        <v>190</v>
      </c>
      <c r="F270" t="s">
        <v>247</v>
      </c>
      <c r="G270" t="s">
        <v>169</v>
      </c>
      <c r="H270">
        <v>702</v>
      </c>
      <c r="I270" s="34">
        <f>+POWER_Regional_Daily_20150101_20190305_c11b3312[[#This Row],[Column8]]/100</f>
        <v>7.02</v>
      </c>
      <c r="J270" s="34"/>
    </row>
    <row r="271" spans="1:10" x14ac:dyDescent="0.25">
      <c r="A271" s="34" t="s">
        <v>164</v>
      </c>
      <c r="B271" s="34" t="s">
        <v>165</v>
      </c>
      <c r="C271" t="s">
        <v>166</v>
      </c>
      <c r="D271" t="s">
        <v>182</v>
      </c>
      <c r="E271" t="s">
        <v>192</v>
      </c>
      <c r="F271" t="s">
        <v>218</v>
      </c>
      <c r="G271" t="s">
        <v>169</v>
      </c>
      <c r="H271">
        <v>604</v>
      </c>
      <c r="I271" s="34">
        <f>+POWER_Regional_Daily_20150101_20190305_c11b3312[[#This Row],[Column8]]/100</f>
        <v>6.04</v>
      </c>
      <c r="J271" s="34"/>
    </row>
    <row r="272" spans="1:10" x14ac:dyDescent="0.25">
      <c r="A272" s="34" t="s">
        <v>164</v>
      </c>
      <c r="B272" s="34" t="s">
        <v>165</v>
      </c>
      <c r="C272" t="s">
        <v>166</v>
      </c>
      <c r="D272" t="s">
        <v>182</v>
      </c>
      <c r="E272" t="s">
        <v>194</v>
      </c>
      <c r="F272" t="s">
        <v>238</v>
      </c>
      <c r="G272" t="s">
        <v>169</v>
      </c>
      <c r="H272">
        <v>638</v>
      </c>
      <c r="I272" s="34">
        <f>+POWER_Regional_Daily_20150101_20190305_c11b3312[[#This Row],[Column8]]/100</f>
        <v>6.38</v>
      </c>
      <c r="J272" s="34"/>
    </row>
    <row r="273" spans="1:10" x14ac:dyDescent="0.25">
      <c r="A273" s="34" t="s">
        <v>164</v>
      </c>
      <c r="B273" s="34" t="s">
        <v>165</v>
      </c>
      <c r="C273" t="s">
        <v>166</v>
      </c>
      <c r="D273" t="s">
        <v>182</v>
      </c>
      <c r="E273" t="s">
        <v>196</v>
      </c>
      <c r="F273" t="s">
        <v>232</v>
      </c>
      <c r="G273" t="s">
        <v>169</v>
      </c>
      <c r="H273">
        <v>609</v>
      </c>
      <c r="I273" s="34">
        <f>+POWER_Regional_Daily_20150101_20190305_c11b3312[[#This Row],[Column8]]/100</f>
        <v>6.09</v>
      </c>
      <c r="J273" s="34"/>
    </row>
    <row r="274" spans="1:10" x14ac:dyDescent="0.25">
      <c r="A274" s="34" t="s">
        <v>164</v>
      </c>
      <c r="B274" s="34" t="s">
        <v>165</v>
      </c>
      <c r="C274" t="s">
        <v>166</v>
      </c>
      <c r="D274" t="s">
        <v>182</v>
      </c>
      <c r="E274" t="s">
        <v>198</v>
      </c>
      <c r="F274" t="s">
        <v>195</v>
      </c>
      <c r="G274" t="s">
        <v>169</v>
      </c>
      <c r="H274">
        <v>498</v>
      </c>
      <c r="I274" s="34">
        <f>+POWER_Regional_Daily_20150101_20190305_c11b3312[[#This Row],[Column8]]/100</f>
        <v>4.9800000000000004</v>
      </c>
      <c r="J274" s="34"/>
    </row>
    <row r="275" spans="1:10" x14ac:dyDescent="0.25">
      <c r="A275" s="34" t="s">
        <v>164</v>
      </c>
      <c r="B275" s="34" t="s">
        <v>165</v>
      </c>
      <c r="C275" t="s">
        <v>166</v>
      </c>
      <c r="D275" t="s">
        <v>182</v>
      </c>
      <c r="E275" t="s">
        <v>199</v>
      </c>
      <c r="F275" t="s">
        <v>221</v>
      </c>
      <c r="G275" t="s">
        <v>169</v>
      </c>
      <c r="H275">
        <v>427</v>
      </c>
      <c r="I275" s="34">
        <f>+POWER_Regional_Daily_20150101_20190305_c11b3312[[#This Row],[Column8]]/100</f>
        <v>4.2699999999999996</v>
      </c>
      <c r="J275" s="34"/>
    </row>
    <row r="276" spans="1:10" x14ac:dyDescent="0.25">
      <c r="A276" s="34" t="s">
        <v>164</v>
      </c>
      <c r="B276" s="34" t="s">
        <v>165</v>
      </c>
      <c r="C276" t="s">
        <v>166</v>
      </c>
      <c r="D276" t="s">
        <v>182</v>
      </c>
      <c r="E276" t="s">
        <v>200</v>
      </c>
      <c r="F276" t="s">
        <v>224</v>
      </c>
      <c r="G276" t="s">
        <v>169</v>
      </c>
      <c r="H276">
        <v>467</v>
      </c>
      <c r="I276" s="34">
        <f>+POWER_Regional_Daily_20150101_20190305_c11b3312[[#This Row],[Column8]]/100</f>
        <v>4.67</v>
      </c>
      <c r="J276" s="34"/>
    </row>
    <row r="277" spans="1:10" x14ac:dyDescent="0.25">
      <c r="A277" s="34" t="s">
        <v>164</v>
      </c>
      <c r="B277" s="34" t="s">
        <v>165</v>
      </c>
      <c r="C277" t="s">
        <v>166</v>
      </c>
      <c r="D277" t="s">
        <v>182</v>
      </c>
      <c r="E277" t="s">
        <v>202</v>
      </c>
      <c r="F277" t="s">
        <v>206</v>
      </c>
      <c r="G277" t="s">
        <v>169</v>
      </c>
      <c r="H277">
        <v>403</v>
      </c>
      <c r="I277" s="34">
        <f>+POWER_Regional_Daily_20150101_20190305_c11b3312[[#This Row],[Column8]]/100</f>
        <v>4.03</v>
      </c>
      <c r="J277" s="34"/>
    </row>
    <row r="278" spans="1:10" x14ac:dyDescent="0.25">
      <c r="A278" s="34" t="s">
        <v>164</v>
      </c>
      <c r="B278" s="34" t="s">
        <v>165</v>
      </c>
      <c r="C278" t="s">
        <v>166</v>
      </c>
      <c r="D278" t="s">
        <v>182</v>
      </c>
      <c r="E278" t="s">
        <v>203</v>
      </c>
      <c r="F278" t="s">
        <v>246</v>
      </c>
      <c r="G278" t="s">
        <v>169</v>
      </c>
      <c r="H278">
        <v>401</v>
      </c>
      <c r="I278" s="34">
        <f>+POWER_Regional_Daily_20150101_20190305_c11b3312[[#This Row],[Column8]]/100</f>
        <v>4.01</v>
      </c>
      <c r="J278" s="34"/>
    </row>
    <row r="279" spans="1:10" x14ac:dyDescent="0.25">
      <c r="A279" s="34" t="s">
        <v>164</v>
      </c>
      <c r="B279" s="34" t="s">
        <v>165</v>
      </c>
      <c r="C279" t="s">
        <v>166</v>
      </c>
      <c r="D279" t="s">
        <v>182</v>
      </c>
      <c r="E279" t="s">
        <v>205</v>
      </c>
      <c r="F279" t="s">
        <v>223</v>
      </c>
      <c r="G279" t="s">
        <v>169</v>
      </c>
      <c r="H279">
        <v>508</v>
      </c>
      <c r="I279" s="34">
        <f>+POWER_Regional_Daily_20150101_20190305_c11b3312[[#This Row],[Column8]]/100</f>
        <v>5.08</v>
      </c>
      <c r="J279" s="34"/>
    </row>
    <row r="280" spans="1:10" x14ac:dyDescent="0.25">
      <c r="A280" s="34" t="s">
        <v>164</v>
      </c>
      <c r="B280" s="34" t="s">
        <v>165</v>
      </c>
      <c r="C280" t="s">
        <v>166</v>
      </c>
      <c r="D280" t="s">
        <v>182</v>
      </c>
      <c r="E280" t="s">
        <v>207</v>
      </c>
      <c r="F280" t="s">
        <v>211</v>
      </c>
      <c r="G280" t="s">
        <v>169</v>
      </c>
      <c r="H280">
        <v>427</v>
      </c>
      <c r="I280" s="34">
        <f>+POWER_Regional_Daily_20150101_20190305_c11b3312[[#This Row],[Column8]]/100</f>
        <v>4.2699999999999996</v>
      </c>
      <c r="J280" s="34"/>
    </row>
    <row r="281" spans="1:10" x14ac:dyDescent="0.25">
      <c r="A281" s="34" t="s">
        <v>164</v>
      </c>
      <c r="B281" s="34" t="s">
        <v>165</v>
      </c>
      <c r="C281" t="s">
        <v>166</v>
      </c>
      <c r="D281" t="s">
        <v>182</v>
      </c>
      <c r="E281" t="s">
        <v>208</v>
      </c>
      <c r="F281" t="s">
        <v>187</v>
      </c>
      <c r="G281" t="s">
        <v>169</v>
      </c>
      <c r="H281">
        <v>-999</v>
      </c>
      <c r="I281" s="34">
        <f>+POWER_Regional_Daily_20150101_20190305_c11b3312[[#This Row],[Column8]]/100</f>
        <v>-9.99</v>
      </c>
      <c r="J281" s="34"/>
    </row>
    <row r="282" spans="1:10" x14ac:dyDescent="0.25">
      <c r="A282" s="34" t="s">
        <v>164</v>
      </c>
      <c r="B282" s="34" t="s">
        <v>165</v>
      </c>
      <c r="C282" t="s">
        <v>166</v>
      </c>
      <c r="D282" t="s">
        <v>182</v>
      </c>
      <c r="E282" t="s">
        <v>210</v>
      </c>
      <c r="F282" t="s">
        <v>232</v>
      </c>
      <c r="G282" t="s">
        <v>169</v>
      </c>
      <c r="H282">
        <v>619</v>
      </c>
      <c r="I282" s="34">
        <f>+POWER_Regional_Daily_20150101_20190305_c11b3312[[#This Row],[Column8]]/100</f>
        <v>6.19</v>
      </c>
      <c r="J282" s="34"/>
    </row>
    <row r="283" spans="1:10" x14ac:dyDescent="0.25">
      <c r="A283" s="34" t="s">
        <v>164</v>
      </c>
      <c r="B283" s="34" t="s">
        <v>165</v>
      </c>
      <c r="C283" t="s">
        <v>166</v>
      </c>
      <c r="D283" t="s">
        <v>182</v>
      </c>
      <c r="E283" t="s">
        <v>212</v>
      </c>
      <c r="F283" t="s">
        <v>189</v>
      </c>
      <c r="G283" t="s">
        <v>169</v>
      </c>
      <c r="H283">
        <v>610</v>
      </c>
      <c r="I283" s="34">
        <f>+POWER_Regional_Daily_20150101_20190305_c11b3312[[#This Row],[Column8]]/100</f>
        <v>6.1</v>
      </c>
      <c r="J283" s="34"/>
    </row>
    <row r="284" spans="1:10" x14ac:dyDescent="0.25">
      <c r="A284" s="34" t="s">
        <v>164</v>
      </c>
      <c r="B284" s="34" t="s">
        <v>165</v>
      </c>
      <c r="C284" t="s">
        <v>166</v>
      </c>
      <c r="D284" t="s">
        <v>182</v>
      </c>
      <c r="E284" t="s">
        <v>214</v>
      </c>
      <c r="F284" t="s">
        <v>183</v>
      </c>
      <c r="G284" t="s">
        <v>169</v>
      </c>
      <c r="H284">
        <v>586</v>
      </c>
      <c r="I284" s="34">
        <f>+POWER_Regional_Daily_20150101_20190305_c11b3312[[#This Row],[Column8]]/100</f>
        <v>5.86</v>
      </c>
      <c r="J284" s="34"/>
    </row>
    <row r="285" spans="1:10" x14ac:dyDescent="0.25">
      <c r="A285" s="34" t="s">
        <v>164</v>
      </c>
      <c r="B285" s="34" t="s">
        <v>165</v>
      </c>
      <c r="C285" t="s">
        <v>166</v>
      </c>
      <c r="D285" t="s">
        <v>182</v>
      </c>
      <c r="E285" t="s">
        <v>215</v>
      </c>
      <c r="F285" t="s">
        <v>238</v>
      </c>
      <c r="G285" t="s">
        <v>169</v>
      </c>
      <c r="H285">
        <v>647</v>
      </c>
      <c r="I285" s="34">
        <f>+POWER_Regional_Daily_20150101_20190305_c11b3312[[#This Row],[Column8]]/100</f>
        <v>6.47</v>
      </c>
      <c r="J285" s="34"/>
    </row>
    <row r="286" spans="1:10" x14ac:dyDescent="0.25">
      <c r="A286" s="34" t="s">
        <v>164</v>
      </c>
      <c r="B286" s="34" t="s">
        <v>165</v>
      </c>
      <c r="C286" t="s">
        <v>166</v>
      </c>
      <c r="D286" t="s">
        <v>182</v>
      </c>
      <c r="E286" t="s">
        <v>217</v>
      </c>
      <c r="F286" t="s">
        <v>224</v>
      </c>
      <c r="G286" t="s">
        <v>169</v>
      </c>
      <c r="H286">
        <v>463</v>
      </c>
      <c r="I286" s="34">
        <f>+POWER_Regional_Daily_20150101_20190305_c11b3312[[#This Row],[Column8]]/100</f>
        <v>4.63</v>
      </c>
      <c r="J286" s="34"/>
    </row>
    <row r="287" spans="1:10" x14ac:dyDescent="0.25">
      <c r="A287" s="34" t="s">
        <v>164</v>
      </c>
      <c r="B287" s="34" t="s">
        <v>165</v>
      </c>
      <c r="C287" t="s">
        <v>166</v>
      </c>
      <c r="D287" t="s">
        <v>182</v>
      </c>
      <c r="E287" t="s">
        <v>219</v>
      </c>
      <c r="F287" t="s">
        <v>221</v>
      </c>
      <c r="G287" t="s">
        <v>169</v>
      </c>
      <c r="H287">
        <v>417</v>
      </c>
      <c r="I287" s="34">
        <f>+POWER_Regional_Daily_20150101_20190305_c11b3312[[#This Row],[Column8]]/100</f>
        <v>4.17</v>
      </c>
      <c r="J287" s="34"/>
    </row>
    <row r="288" spans="1:10" x14ac:dyDescent="0.25">
      <c r="A288" s="34" t="s">
        <v>164</v>
      </c>
      <c r="B288" s="34" t="s">
        <v>165</v>
      </c>
      <c r="C288" t="s">
        <v>166</v>
      </c>
      <c r="D288" t="s">
        <v>184</v>
      </c>
      <c r="E288" t="s">
        <v>167</v>
      </c>
      <c r="F288" t="s">
        <v>229</v>
      </c>
      <c r="G288" t="s">
        <v>169</v>
      </c>
      <c r="H288">
        <v>354</v>
      </c>
      <c r="I288" s="34">
        <f>+POWER_Regional_Daily_20150101_20190305_c11b3312[[#This Row],[Column8]]/100</f>
        <v>3.54</v>
      </c>
      <c r="J288" s="34"/>
    </row>
    <row r="289" spans="1:10" x14ac:dyDescent="0.25">
      <c r="A289" s="34" t="s">
        <v>164</v>
      </c>
      <c r="B289" s="34" t="s">
        <v>165</v>
      </c>
      <c r="C289" t="s">
        <v>166</v>
      </c>
      <c r="D289" t="s">
        <v>184</v>
      </c>
      <c r="E289" t="s">
        <v>170</v>
      </c>
      <c r="F289" t="s">
        <v>224</v>
      </c>
      <c r="G289" t="s">
        <v>169</v>
      </c>
      <c r="H289">
        <v>462</v>
      </c>
      <c r="I289" s="34">
        <f>+POWER_Regional_Daily_20150101_20190305_c11b3312[[#This Row],[Column8]]/100</f>
        <v>4.62</v>
      </c>
      <c r="J289" s="34"/>
    </row>
    <row r="290" spans="1:10" x14ac:dyDescent="0.25">
      <c r="A290" s="34" t="s">
        <v>164</v>
      </c>
      <c r="B290" s="34" t="s">
        <v>165</v>
      </c>
      <c r="C290" t="s">
        <v>166</v>
      </c>
      <c r="D290" t="s">
        <v>184</v>
      </c>
      <c r="E290" t="s">
        <v>172</v>
      </c>
      <c r="F290" t="s">
        <v>209</v>
      </c>
      <c r="G290" t="s">
        <v>169</v>
      </c>
      <c r="H290">
        <v>516</v>
      </c>
      <c r="I290" s="34">
        <f>+POWER_Regional_Daily_20150101_20190305_c11b3312[[#This Row],[Column8]]/100</f>
        <v>5.16</v>
      </c>
      <c r="J290" s="34"/>
    </row>
    <row r="291" spans="1:10" x14ac:dyDescent="0.25">
      <c r="A291" s="34" t="s">
        <v>164</v>
      </c>
      <c r="B291" s="34" t="s">
        <v>165</v>
      </c>
      <c r="C291" t="s">
        <v>166</v>
      </c>
      <c r="D291" t="s">
        <v>184</v>
      </c>
      <c r="E291" t="s">
        <v>174</v>
      </c>
      <c r="F291" t="s">
        <v>168</v>
      </c>
      <c r="G291" t="s">
        <v>169</v>
      </c>
      <c r="H291">
        <v>634</v>
      </c>
      <c r="I291" s="34">
        <f>+POWER_Regional_Daily_20150101_20190305_c11b3312[[#This Row],[Column8]]/100</f>
        <v>6.34</v>
      </c>
      <c r="J291" s="34"/>
    </row>
    <row r="292" spans="1:10" x14ac:dyDescent="0.25">
      <c r="A292" s="34" t="s">
        <v>164</v>
      </c>
      <c r="B292" s="34" t="s">
        <v>165</v>
      </c>
      <c r="C292" t="s">
        <v>166</v>
      </c>
      <c r="D292" t="s">
        <v>184</v>
      </c>
      <c r="E292" t="s">
        <v>175</v>
      </c>
      <c r="F292" t="s">
        <v>189</v>
      </c>
      <c r="G292" t="s">
        <v>169</v>
      </c>
      <c r="H292">
        <v>591</v>
      </c>
      <c r="I292" s="34">
        <f>+POWER_Regional_Daily_20150101_20190305_c11b3312[[#This Row],[Column8]]/100</f>
        <v>5.91</v>
      </c>
      <c r="J292" s="34"/>
    </row>
    <row r="293" spans="1:10" x14ac:dyDescent="0.25">
      <c r="A293" s="34" t="s">
        <v>164</v>
      </c>
      <c r="B293" s="34" t="s">
        <v>165</v>
      </c>
      <c r="C293" t="s">
        <v>166</v>
      </c>
      <c r="D293" t="s">
        <v>184</v>
      </c>
      <c r="E293" t="s">
        <v>177</v>
      </c>
      <c r="F293" t="s">
        <v>181</v>
      </c>
      <c r="G293" t="s">
        <v>169</v>
      </c>
      <c r="H293">
        <v>581</v>
      </c>
      <c r="I293" s="34">
        <f>+POWER_Regional_Daily_20150101_20190305_c11b3312[[#This Row],[Column8]]/100</f>
        <v>5.81</v>
      </c>
      <c r="J293" s="34"/>
    </row>
    <row r="294" spans="1:10" x14ac:dyDescent="0.25">
      <c r="A294" s="34" t="s">
        <v>164</v>
      </c>
      <c r="B294" s="34" t="s">
        <v>165</v>
      </c>
      <c r="C294" t="s">
        <v>166</v>
      </c>
      <c r="D294" t="s">
        <v>184</v>
      </c>
      <c r="E294" t="s">
        <v>178</v>
      </c>
      <c r="F294" t="s">
        <v>218</v>
      </c>
      <c r="G294" t="s">
        <v>169</v>
      </c>
      <c r="H294">
        <v>591</v>
      </c>
      <c r="I294" s="34">
        <f>+POWER_Regional_Daily_20150101_20190305_c11b3312[[#This Row],[Column8]]/100</f>
        <v>5.91</v>
      </c>
      <c r="J294" s="34"/>
    </row>
    <row r="295" spans="1:10" x14ac:dyDescent="0.25">
      <c r="A295" s="34" t="s">
        <v>164</v>
      </c>
      <c r="B295" s="34" t="s">
        <v>165</v>
      </c>
      <c r="C295" t="s">
        <v>166</v>
      </c>
      <c r="D295" t="s">
        <v>184</v>
      </c>
      <c r="E295" t="s">
        <v>180</v>
      </c>
      <c r="F295" t="s">
        <v>213</v>
      </c>
      <c r="G295" t="s">
        <v>169</v>
      </c>
      <c r="H295">
        <v>555</v>
      </c>
      <c r="I295" s="34">
        <f>+POWER_Regional_Daily_20150101_20190305_c11b3312[[#This Row],[Column8]]/100</f>
        <v>5.55</v>
      </c>
      <c r="J295" s="34"/>
    </row>
    <row r="296" spans="1:10" x14ac:dyDescent="0.25">
      <c r="A296" s="34" t="s">
        <v>164</v>
      </c>
      <c r="B296" s="34" t="s">
        <v>165</v>
      </c>
      <c r="C296" t="s">
        <v>166</v>
      </c>
      <c r="D296" t="s">
        <v>184</v>
      </c>
      <c r="E296" t="s">
        <v>182</v>
      </c>
      <c r="F296" t="s">
        <v>230</v>
      </c>
      <c r="G296" t="s">
        <v>169</v>
      </c>
      <c r="H296">
        <v>373</v>
      </c>
      <c r="I296" s="34">
        <f>+POWER_Regional_Daily_20150101_20190305_c11b3312[[#This Row],[Column8]]/100</f>
        <v>3.73</v>
      </c>
      <c r="J296" s="34"/>
    </row>
    <row r="297" spans="1:10" x14ac:dyDescent="0.25">
      <c r="A297" s="34" t="s">
        <v>164</v>
      </c>
      <c r="B297" s="34" t="s">
        <v>165</v>
      </c>
      <c r="C297" t="s">
        <v>166</v>
      </c>
      <c r="D297" t="s">
        <v>184</v>
      </c>
      <c r="E297" t="s">
        <v>184</v>
      </c>
      <c r="F297" t="s">
        <v>187</v>
      </c>
      <c r="G297" t="s">
        <v>169</v>
      </c>
      <c r="H297">
        <v>-999</v>
      </c>
      <c r="I297" s="34">
        <f>+POWER_Regional_Daily_20150101_20190305_c11b3312[[#This Row],[Column8]]/100</f>
        <v>-9.99</v>
      </c>
      <c r="J297" s="34"/>
    </row>
    <row r="298" spans="1:10" x14ac:dyDescent="0.25">
      <c r="A298" s="34" t="s">
        <v>164</v>
      </c>
      <c r="B298" s="34" t="s">
        <v>165</v>
      </c>
      <c r="C298" t="s">
        <v>166</v>
      </c>
      <c r="D298" t="s">
        <v>184</v>
      </c>
      <c r="E298" t="s">
        <v>186</v>
      </c>
      <c r="F298" t="s">
        <v>221</v>
      </c>
      <c r="G298" t="s">
        <v>169</v>
      </c>
      <c r="H298">
        <v>417</v>
      </c>
      <c r="I298" s="34">
        <f>+POWER_Regional_Daily_20150101_20190305_c11b3312[[#This Row],[Column8]]/100</f>
        <v>4.17</v>
      </c>
      <c r="J298" s="34"/>
    </row>
    <row r="299" spans="1:10" x14ac:dyDescent="0.25">
      <c r="A299" s="34" t="s">
        <v>164</v>
      </c>
      <c r="B299" s="34" t="s">
        <v>165</v>
      </c>
      <c r="C299" t="s">
        <v>166</v>
      </c>
      <c r="D299" t="s">
        <v>184</v>
      </c>
      <c r="E299" t="s">
        <v>188</v>
      </c>
      <c r="F299" t="s">
        <v>211</v>
      </c>
      <c r="G299" t="s">
        <v>169</v>
      </c>
      <c r="H299">
        <v>427</v>
      </c>
      <c r="I299" s="34">
        <f>+POWER_Regional_Daily_20150101_20190305_c11b3312[[#This Row],[Column8]]/100</f>
        <v>4.2699999999999996</v>
      </c>
      <c r="J299" s="34"/>
    </row>
    <row r="300" spans="1:10" x14ac:dyDescent="0.25">
      <c r="A300" s="34" t="s">
        <v>164</v>
      </c>
      <c r="B300" s="34" t="s">
        <v>165</v>
      </c>
      <c r="C300" t="s">
        <v>166</v>
      </c>
      <c r="D300" t="s">
        <v>184</v>
      </c>
      <c r="E300" t="s">
        <v>190</v>
      </c>
      <c r="F300" t="s">
        <v>204</v>
      </c>
      <c r="G300" t="s">
        <v>169</v>
      </c>
      <c r="H300">
        <v>432</v>
      </c>
      <c r="I300" s="34">
        <f>+POWER_Regional_Daily_20150101_20190305_c11b3312[[#This Row],[Column8]]/100</f>
        <v>4.32</v>
      </c>
      <c r="J300" s="34"/>
    </row>
    <row r="301" spans="1:10" x14ac:dyDescent="0.25">
      <c r="A301" s="34" t="s">
        <v>164</v>
      </c>
      <c r="B301" s="34" t="s">
        <v>165</v>
      </c>
      <c r="C301" t="s">
        <v>166</v>
      </c>
      <c r="D301" t="s">
        <v>184</v>
      </c>
      <c r="E301" t="s">
        <v>192</v>
      </c>
      <c r="F301" t="s">
        <v>221</v>
      </c>
      <c r="G301" t="s">
        <v>169</v>
      </c>
      <c r="H301">
        <v>413</v>
      </c>
      <c r="I301" s="34">
        <f>+POWER_Regional_Daily_20150101_20190305_c11b3312[[#This Row],[Column8]]/100</f>
        <v>4.13</v>
      </c>
      <c r="J301" s="34"/>
    </row>
    <row r="302" spans="1:10" x14ac:dyDescent="0.25">
      <c r="A302" s="34" t="s">
        <v>164</v>
      </c>
      <c r="B302" s="34" t="s">
        <v>165</v>
      </c>
      <c r="C302" t="s">
        <v>166</v>
      </c>
      <c r="D302" t="s">
        <v>184</v>
      </c>
      <c r="E302" t="s">
        <v>194</v>
      </c>
      <c r="F302" t="s">
        <v>191</v>
      </c>
      <c r="G302" t="s">
        <v>169</v>
      </c>
      <c r="H302">
        <v>339</v>
      </c>
      <c r="I302" s="34">
        <f>+POWER_Regional_Daily_20150101_20190305_c11b3312[[#This Row],[Column8]]/100</f>
        <v>3.39</v>
      </c>
      <c r="J302" s="34"/>
    </row>
    <row r="303" spans="1:10" x14ac:dyDescent="0.25">
      <c r="A303" s="34" t="s">
        <v>164</v>
      </c>
      <c r="B303" s="34" t="s">
        <v>165</v>
      </c>
      <c r="C303" t="s">
        <v>166</v>
      </c>
      <c r="D303" t="s">
        <v>184</v>
      </c>
      <c r="E303" t="s">
        <v>196</v>
      </c>
      <c r="F303" t="s">
        <v>230</v>
      </c>
      <c r="G303" t="s">
        <v>169</v>
      </c>
      <c r="H303">
        <v>367</v>
      </c>
      <c r="I303" s="34">
        <f>+POWER_Regional_Daily_20150101_20190305_c11b3312[[#This Row],[Column8]]/100</f>
        <v>3.67</v>
      </c>
      <c r="J303" s="34"/>
    </row>
    <row r="304" spans="1:10" x14ac:dyDescent="0.25">
      <c r="A304" s="34" t="s">
        <v>164</v>
      </c>
      <c r="B304" s="34" t="s">
        <v>165</v>
      </c>
      <c r="C304" t="s">
        <v>166</v>
      </c>
      <c r="D304" t="s">
        <v>184</v>
      </c>
      <c r="E304" t="s">
        <v>198</v>
      </c>
      <c r="F304" t="s">
        <v>181</v>
      </c>
      <c r="G304" t="s">
        <v>169</v>
      </c>
      <c r="H304">
        <v>551</v>
      </c>
      <c r="I304" s="34">
        <f>+POWER_Regional_Daily_20150101_20190305_c11b3312[[#This Row],[Column8]]/100</f>
        <v>5.51</v>
      </c>
      <c r="J304" s="34"/>
    </row>
    <row r="305" spans="1:10" x14ac:dyDescent="0.25">
      <c r="A305" s="34" t="s">
        <v>164</v>
      </c>
      <c r="B305" s="34" t="s">
        <v>165</v>
      </c>
      <c r="C305" t="s">
        <v>166</v>
      </c>
      <c r="D305" t="s">
        <v>184</v>
      </c>
      <c r="E305" t="s">
        <v>199</v>
      </c>
      <c r="F305" t="s">
        <v>221</v>
      </c>
      <c r="G305" t="s">
        <v>169</v>
      </c>
      <c r="H305">
        <v>409</v>
      </c>
      <c r="I305" s="34">
        <f>+POWER_Regional_Daily_20150101_20190305_c11b3312[[#This Row],[Column8]]/100</f>
        <v>4.09</v>
      </c>
      <c r="J305" s="34"/>
    </row>
    <row r="306" spans="1:10" x14ac:dyDescent="0.25">
      <c r="A306" s="34" t="s">
        <v>164</v>
      </c>
      <c r="B306" s="34" t="s">
        <v>165</v>
      </c>
      <c r="C306" t="s">
        <v>166</v>
      </c>
      <c r="D306" t="s">
        <v>184</v>
      </c>
      <c r="E306" t="s">
        <v>200</v>
      </c>
      <c r="F306" t="s">
        <v>201</v>
      </c>
      <c r="G306" t="s">
        <v>169</v>
      </c>
      <c r="H306">
        <v>541</v>
      </c>
      <c r="I306" s="34">
        <f>+POWER_Regional_Daily_20150101_20190305_c11b3312[[#This Row],[Column8]]/100</f>
        <v>5.41</v>
      </c>
      <c r="J306" s="34"/>
    </row>
    <row r="307" spans="1:10" x14ac:dyDescent="0.25">
      <c r="A307" s="34" t="s">
        <v>164</v>
      </c>
      <c r="B307" s="34" t="s">
        <v>165</v>
      </c>
      <c r="C307" t="s">
        <v>166</v>
      </c>
      <c r="D307" t="s">
        <v>184</v>
      </c>
      <c r="E307" t="s">
        <v>202</v>
      </c>
      <c r="F307" t="s">
        <v>183</v>
      </c>
      <c r="G307" t="s">
        <v>169</v>
      </c>
      <c r="H307">
        <v>569</v>
      </c>
      <c r="I307" s="34">
        <f>+POWER_Regional_Daily_20150101_20190305_c11b3312[[#This Row],[Column8]]/100</f>
        <v>5.69</v>
      </c>
      <c r="J307" s="34"/>
    </row>
    <row r="308" spans="1:10" x14ac:dyDescent="0.25">
      <c r="A308" s="34" t="s">
        <v>164</v>
      </c>
      <c r="B308" s="34" t="s">
        <v>165</v>
      </c>
      <c r="C308" t="s">
        <v>166</v>
      </c>
      <c r="D308" t="s">
        <v>184</v>
      </c>
      <c r="E308" t="s">
        <v>203</v>
      </c>
      <c r="F308" t="s">
        <v>213</v>
      </c>
      <c r="G308" t="s">
        <v>169</v>
      </c>
      <c r="H308">
        <v>549</v>
      </c>
      <c r="I308" s="34">
        <f>+POWER_Regional_Daily_20150101_20190305_c11b3312[[#This Row],[Column8]]/100</f>
        <v>5.49</v>
      </c>
      <c r="J308" s="34"/>
    </row>
    <row r="309" spans="1:10" x14ac:dyDescent="0.25">
      <c r="A309" s="34" t="s">
        <v>164</v>
      </c>
      <c r="B309" s="34" t="s">
        <v>165</v>
      </c>
      <c r="C309" t="s">
        <v>166</v>
      </c>
      <c r="D309" t="s">
        <v>184</v>
      </c>
      <c r="E309" t="s">
        <v>205</v>
      </c>
      <c r="F309" t="s">
        <v>183</v>
      </c>
      <c r="G309" t="s">
        <v>169</v>
      </c>
      <c r="H309">
        <v>585</v>
      </c>
      <c r="I309" s="34">
        <f>+POWER_Regional_Daily_20150101_20190305_c11b3312[[#This Row],[Column8]]/100</f>
        <v>5.85</v>
      </c>
      <c r="J309" s="34"/>
    </row>
    <row r="310" spans="1:10" x14ac:dyDescent="0.25">
      <c r="A310" s="34" t="s">
        <v>164</v>
      </c>
      <c r="B310" s="34" t="s">
        <v>165</v>
      </c>
      <c r="C310" t="s">
        <v>166</v>
      </c>
      <c r="D310" t="s">
        <v>184</v>
      </c>
      <c r="E310" t="s">
        <v>207</v>
      </c>
      <c r="F310" t="s">
        <v>246</v>
      </c>
      <c r="G310" t="s">
        <v>169</v>
      </c>
      <c r="H310">
        <v>376</v>
      </c>
      <c r="I310" s="34">
        <f>+POWER_Regional_Daily_20150101_20190305_c11b3312[[#This Row],[Column8]]/100</f>
        <v>3.76</v>
      </c>
      <c r="J310" s="34"/>
    </row>
    <row r="311" spans="1:10" x14ac:dyDescent="0.25">
      <c r="A311" s="34" t="s">
        <v>164</v>
      </c>
      <c r="B311" s="34" t="s">
        <v>165</v>
      </c>
      <c r="C311" t="s">
        <v>166</v>
      </c>
      <c r="D311" t="s">
        <v>184</v>
      </c>
      <c r="E311" t="s">
        <v>208</v>
      </c>
      <c r="F311" t="s">
        <v>216</v>
      </c>
      <c r="G311" t="s">
        <v>169</v>
      </c>
      <c r="H311">
        <v>318</v>
      </c>
      <c r="I311" s="34">
        <f>+POWER_Regional_Daily_20150101_20190305_c11b3312[[#This Row],[Column8]]/100</f>
        <v>3.18</v>
      </c>
      <c r="J311" s="34"/>
    </row>
    <row r="312" spans="1:10" x14ac:dyDescent="0.25">
      <c r="A312" s="34" t="s">
        <v>164</v>
      </c>
      <c r="B312" s="34" t="s">
        <v>165</v>
      </c>
      <c r="C312" t="s">
        <v>166</v>
      </c>
      <c r="D312" t="s">
        <v>184</v>
      </c>
      <c r="E312" t="s">
        <v>210</v>
      </c>
      <c r="F312" t="s">
        <v>239</v>
      </c>
      <c r="G312" t="s">
        <v>169</v>
      </c>
      <c r="H312">
        <v>359</v>
      </c>
      <c r="I312" s="34">
        <f>+POWER_Regional_Daily_20150101_20190305_c11b3312[[#This Row],[Column8]]/100</f>
        <v>3.59</v>
      </c>
      <c r="J312" s="34"/>
    </row>
    <row r="313" spans="1:10" x14ac:dyDescent="0.25">
      <c r="A313" s="34" t="s">
        <v>164</v>
      </c>
      <c r="B313" s="34" t="s">
        <v>165</v>
      </c>
      <c r="C313" t="s">
        <v>166</v>
      </c>
      <c r="D313" t="s">
        <v>184</v>
      </c>
      <c r="E313" t="s">
        <v>212</v>
      </c>
      <c r="F313" t="s">
        <v>187</v>
      </c>
      <c r="G313" t="s">
        <v>169</v>
      </c>
      <c r="H313">
        <v>-999</v>
      </c>
      <c r="I313" s="34">
        <f>+POWER_Regional_Daily_20150101_20190305_c11b3312[[#This Row],[Column8]]/100</f>
        <v>-9.99</v>
      </c>
      <c r="J313" s="34"/>
    </row>
    <row r="314" spans="1:10" x14ac:dyDescent="0.25">
      <c r="A314" s="34" t="s">
        <v>164</v>
      </c>
      <c r="B314" s="34" t="s">
        <v>165</v>
      </c>
      <c r="C314" t="s">
        <v>166</v>
      </c>
      <c r="D314" t="s">
        <v>184</v>
      </c>
      <c r="E314" t="s">
        <v>214</v>
      </c>
      <c r="F314" t="s">
        <v>252</v>
      </c>
      <c r="G314" t="s">
        <v>169</v>
      </c>
      <c r="H314">
        <v>232</v>
      </c>
      <c r="I314" s="34">
        <f>+POWER_Regional_Daily_20150101_20190305_c11b3312[[#This Row],[Column8]]/100</f>
        <v>2.3199999999999998</v>
      </c>
      <c r="J314" s="34"/>
    </row>
    <row r="315" spans="1:10" x14ac:dyDescent="0.25">
      <c r="A315" s="34" t="s">
        <v>164</v>
      </c>
      <c r="B315" s="34" t="s">
        <v>165</v>
      </c>
      <c r="C315" t="s">
        <v>166</v>
      </c>
      <c r="D315" t="s">
        <v>184</v>
      </c>
      <c r="E315" t="s">
        <v>215</v>
      </c>
      <c r="F315" t="s">
        <v>201</v>
      </c>
      <c r="G315" t="s">
        <v>169</v>
      </c>
      <c r="H315">
        <v>521</v>
      </c>
      <c r="I315" s="34">
        <f>+POWER_Regional_Daily_20150101_20190305_c11b3312[[#This Row],[Column8]]/100</f>
        <v>5.21</v>
      </c>
      <c r="J315" s="34"/>
    </row>
    <row r="316" spans="1:10" x14ac:dyDescent="0.25">
      <c r="A316" s="34" t="s">
        <v>164</v>
      </c>
      <c r="B316" s="34" t="s">
        <v>165</v>
      </c>
      <c r="C316" t="s">
        <v>166</v>
      </c>
      <c r="D316" t="s">
        <v>184</v>
      </c>
      <c r="E316" t="s">
        <v>217</v>
      </c>
      <c r="F316" t="s">
        <v>213</v>
      </c>
      <c r="G316" t="s">
        <v>169</v>
      </c>
      <c r="H316">
        <v>533</v>
      </c>
      <c r="I316" s="34">
        <f>+POWER_Regional_Daily_20150101_20190305_c11b3312[[#This Row],[Column8]]/100</f>
        <v>5.33</v>
      </c>
      <c r="J316" s="34"/>
    </row>
    <row r="317" spans="1:10" x14ac:dyDescent="0.25">
      <c r="A317" s="34" t="s">
        <v>164</v>
      </c>
      <c r="B317" s="34" t="s">
        <v>165</v>
      </c>
      <c r="C317" t="s">
        <v>166</v>
      </c>
      <c r="D317" t="s">
        <v>184</v>
      </c>
      <c r="E317" t="s">
        <v>219</v>
      </c>
      <c r="F317" t="s">
        <v>183</v>
      </c>
      <c r="G317" t="s">
        <v>169</v>
      </c>
      <c r="H317">
        <v>561</v>
      </c>
      <c r="I317" s="34">
        <f>+POWER_Regional_Daily_20150101_20190305_c11b3312[[#This Row],[Column8]]/100</f>
        <v>5.61</v>
      </c>
      <c r="J317" s="34"/>
    </row>
    <row r="318" spans="1:10" x14ac:dyDescent="0.25">
      <c r="A318" s="34" t="s">
        <v>164</v>
      </c>
      <c r="B318" s="34" t="s">
        <v>165</v>
      </c>
      <c r="C318" t="s">
        <v>166</v>
      </c>
      <c r="D318" t="s">
        <v>184</v>
      </c>
      <c r="E318" t="s">
        <v>220</v>
      </c>
      <c r="F318" t="s">
        <v>235</v>
      </c>
      <c r="G318" t="s">
        <v>169</v>
      </c>
      <c r="H318">
        <v>490</v>
      </c>
      <c r="I318" s="34">
        <f>+POWER_Regional_Daily_20150101_20190305_c11b3312[[#This Row],[Column8]]/100</f>
        <v>4.9000000000000004</v>
      </c>
      <c r="J318" s="34"/>
    </row>
    <row r="319" spans="1:10" x14ac:dyDescent="0.25">
      <c r="A319" s="34" t="s">
        <v>164</v>
      </c>
      <c r="B319" s="34" t="s">
        <v>165</v>
      </c>
      <c r="C319" t="s">
        <v>166</v>
      </c>
      <c r="D319" t="s">
        <v>186</v>
      </c>
      <c r="E319" t="s">
        <v>167</v>
      </c>
      <c r="F319" t="s">
        <v>246</v>
      </c>
      <c r="G319" t="s">
        <v>169</v>
      </c>
      <c r="H319">
        <v>375</v>
      </c>
      <c r="I319" s="34">
        <f>+POWER_Regional_Daily_20150101_20190305_c11b3312[[#This Row],[Column8]]/100</f>
        <v>3.75</v>
      </c>
      <c r="J319" s="34"/>
    </row>
    <row r="320" spans="1:10" x14ac:dyDescent="0.25">
      <c r="A320" s="34" t="s">
        <v>164</v>
      </c>
      <c r="B320" s="34" t="s">
        <v>165</v>
      </c>
      <c r="C320" t="s">
        <v>166</v>
      </c>
      <c r="D320" t="s">
        <v>186</v>
      </c>
      <c r="E320" t="s">
        <v>170</v>
      </c>
      <c r="F320" t="s">
        <v>191</v>
      </c>
      <c r="G320" t="s">
        <v>169</v>
      </c>
      <c r="H320">
        <v>328</v>
      </c>
      <c r="I320" s="34">
        <f>+POWER_Regional_Daily_20150101_20190305_c11b3312[[#This Row],[Column8]]/100</f>
        <v>3.28</v>
      </c>
      <c r="J320" s="34"/>
    </row>
    <row r="321" spans="1:10" x14ac:dyDescent="0.25">
      <c r="A321" s="34" t="s">
        <v>164</v>
      </c>
      <c r="B321" s="34" t="s">
        <v>165</v>
      </c>
      <c r="C321" t="s">
        <v>166</v>
      </c>
      <c r="D321" t="s">
        <v>186</v>
      </c>
      <c r="E321" t="s">
        <v>172</v>
      </c>
      <c r="F321" t="s">
        <v>231</v>
      </c>
      <c r="G321" t="s">
        <v>169</v>
      </c>
      <c r="H321">
        <v>473</v>
      </c>
      <c r="I321" s="34">
        <f>+POWER_Regional_Daily_20150101_20190305_c11b3312[[#This Row],[Column8]]/100</f>
        <v>4.7300000000000004</v>
      </c>
      <c r="J321" s="34"/>
    </row>
    <row r="322" spans="1:10" x14ac:dyDescent="0.25">
      <c r="A322" s="34" t="s">
        <v>164</v>
      </c>
      <c r="B322" s="34" t="s">
        <v>165</v>
      </c>
      <c r="C322" t="s">
        <v>166</v>
      </c>
      <c r="D322" t="s">
        <v>186</v>
      </c>
      <c r="E322" t="s">
        <v>174</v>
      </c>
      <c r="F322" t="s">
        <v>230</v>
      </c>
      <c r="G322" t="s">
        <v>169</v>
      </c>
      <c r="H322">
        <v>365</v>
      </c>
      <c r="I322" s="34">
        <f>+POWER_Regional_Daily_20150101_20190305_c11b3312[[#This Row],[Column8]]/100</f>
        <v>3.65</v>
      </c>
      <c r="J322" s="34"/>
    </row>
    <row r="323" spans="1:10" x14ac:dyDescent="0.25">
      <c r="A323" s="34" t="s">
        <v>164</v>
      </c>
      <c r="B323" s="34" t="s">
        <v>165</v>
      </c>
      <c r="C323" t="s">
        <v>166</v>
      </c>
      <c r="D323" t="s">
        <v>186</v>
      </c>
      <c r="E323" t="s">
        <v>175</v>
      </c>
      <c r="F323" t="s">
        <v>216</v>
      </c>
      <c r="G323" t="s">
        <v>169</v>
      </c>
      <c r="H323">
        <v>313</v>
      </c>
      <c r="I323" s="34">
        <f>+POWER_Regional_Daily_20150101_20190305_c11b3312[[#This Row],[Column8]]/100</f>
        <v>3.13</v>
      </c>
      <c r="J323" s="34"/>
    </row>
    <row r="324" spans="1:10" x14ac:dyDescent="0.25">
      <c r="A324" s="34" t="s">
        <v>164</v>
      </c>
      <c r="B324" s="34" t="s">
        <v>165</v>
      </c>
      <c r="C324" t="s">
        <v>166</v>
      </c>
      <c r="D324" t="s">
        <v>186</v>
      </c>
      <c r="E324" t="s">
        <v>177</v>
      </c>
      <c r="F324" t="s">
        <v>197</v>
      </c>
      <c r="G324" t="s">
        <v>169</v>
      </c>
      <c r="H324">
        <v>427</v>
      </c>
      <c r="I324" s="34">
        <f>+POWER_Regional_Daily_20150101_20190305_c11b3312[[#This Row],[Column8]]/100</f>
        <v>4.2699999999999996</v>
      </c>
      <c r="J324" s="34"/>
    </row>
    <row r="325" spans="1:10" x14ac:dyDescent="0.25">
      <c r="A325" s="34" t="s">
        <v>164</v>
      </c>
      <c r="B325" s="34" t="s">
        <v>165</v>
      </c>
      <c r="C325" t="s">
        <v>166</v>
      </c>
      <c r="D325" t="s">
        <v>186</v>
      </c>
      <c r="E325" t="s">
        <v>178</v>
      </c>
      <c r="F325" t="s">
        <v>239</v>
      </c>
      <c r="G325" t="s">
        <v>169</v>
      </c>
      <c r="H325">
        <v>347</v>
      </c>
      <c r="I325" s="34">
        <f>+POWER_Regional_Daily_20150101_20190305_c11b3312[[#This Row],[Column8]]/100</f>
        <v>3.47</v>
      </c>
      <c r="J325" s="34"/>
    </row>
    <row r="326" spans="1:10" x14ac:dyDescent="0.25">
      <c r="A326" s="34" t="s">
        <v>164</v>
      </c>
      <c r="B326" s="34" t="s">
        <v>165</v>
      </c>
      <c r="C326" t="s">
        <v>166</v>
      </c>
      <c r="D326" t="s">
        <v>186</v>
      </c>
      <c r="E326" t="s">
        <v>180</v>
      </c>
      <c r="F326" t="s">
        <v>239</v>
      </c>
      <c r="G326" t="s">
        <v>169</v>
      </c>
      <c r="H326">
        <v>353</v>
      </c>
      <c r="I326" s="34">
        <f>+POWER_Regional_Daily_20150101_20190305_c11b3312[[#This Row],[Column8]]/100</f>
        <v>3.53</v>
      </c>
      <c r="J326" s="34"/>
    </row>
    <row r="327" spans="1:10" x14ac:dyDescent="0.25">
      <c r="A327" s="34" t="s">
        <v>164</v>
      </c>
      <c r="B327" s="34" t="s">
        <v>165</v>
      </c>
      <c r="C327" t="s">
        <v>166</v>
      </c>
      <c r="D327" t="s">
        <v>186</v>
      </c>
      <c r="E327" t="s">
        <v>182</v>
      </c>
      <c r="F327" t="s">
        <v>193</v>
      </c>
      <c r="G327" t="s">
        <v>169</v>
      </c>
      <c r="H327">
        <v>391</v>
      </c>
      <c r="I327" s="34">
        <f>+POWER_Regional_Daily_20150101_20190305_c11b3312[[#This Row],[Column8]]/100</f>
        <v>3.91</v>
      </c>
      <c r="J327" s="34"/>
    </row>
    <row r="328" spans="1:10" x14ac:dyDescent="0.25">
      <c r="A328" s="34" t="s">
        <v>164</v>
      </c>
      <c r="B328" s="34" t="s">
        <v>165</v>
      </c>
      <c r="C328" t="s">
        <v>166</v>
      </c>
      <c r="D328" t="s">
        <v>186</v>
      </c>
      <c r="E328" t="s">
        <v>184</v>
      </c>
      <c r="F328" t="s">
        <v>250</v>
      </c>
      <c r="G328" t="s">
        <v>305</v>
      </c>
      <c r="H328">
        <v>619</v>
      </c>
      <c r="I328" s="34">
        <f>+POWER_Regional_Daily_20150101_20190305_c11b3312[[#This Row],[Column8]]/100</f>
        <v>6.19</v>
      </c>
      <c r="J328" s="34"/>
    </row>
    <row r="329" spans="1:10" x14ac:dyDescent="0.25">
      <c r="A329" s="34" t="s">
        <v>164</v>
      </c>
      <c r="B329" s="34" t="s">
        <v>165</v>
      </c>
      <c r="C329" t="s">
        <v>166</v>
      </c>
      <c r="D329" t="s">
        <v>186</v>
      </c>
      <c r="E329" t="s">
        <v>186</v>
      </c>
      <c r="F329" t="s">
        <v>187</v>
      </c>
      <c r="G329" t="s">
        <v>169</v>
      </c>
      <c r="H329">
        <v>-999</v>
      </c>
      <c r="I329" s="34">
        <f>+POWER_Regional_Daily_20150101_20190305_c11b3312[[#This Row],[Column8]]/100</f>
        <v>-9.99</v>
      </c>
      <c r="J329" s="34"/>
    </row>
    <row r="330" spans="1:10" x14ac:dyDescent="0.25">
      <c r="A330" s="34" t="s">
        <v>164</v>
      </c>
      <c r="B330" s="34" t="s">
        <v>165</v>
      </c>
      <c r="C330" t="s">
        <v>166</v>
      </c>
      <c r="D330" t="s">
        <v>186</v>
      </c>
      <c r="E330" t="s">
        <v>188</v>
      </c>
      <c r="F330" t="s">
        <v>201</v>
      </c>
      <c r="G330" t="s">
        <v>169</v>
      </c>
      <c r="H330">
        <v>510</v>
      </c>
      <c r="I330" s="34">
        <f>+POWER_Regional_Daily_20150101_20190305_c11b3312[[#This Row],[Column8]]/100</f>
        <v>5.0999999999999996</v>
      </c>
      <c r="J330" s="34"/>
    </row>
    <row r="331" spans="1:10" x14ac:dyDescent="0.25">
      <c r="A331" s="34" t="s">
        <v>164</v>
      </c>
      <c r="B331" s="34" t="s">
        <v>165</v>
      </c>
      <c r="C331" t="s">
        <v>166</v>
      </c>
      <c r="D331" t="s">
        <v>186</v>
      </c>
      <c r="E331" t="s">
        <v>190</v>
      </c>
      <c r="F331" t="s">
        <v>236</v>
      </c>
      <c r="G331" t="s">
        <v>169</v>
      </c>
      <c r="H331">
        <v>495</v>
      </c>
      <c r="I331" s="34">
        <f>+POWER_Regional_Daily_20150101_20190305_c11b3312[[#This Row],[Column8]]/100</f>
        <v>4.95</v>
      </c>
      <c r="J331" s="34"/>
    </row>
    <row r="332" spans="1:10" x14ac:dyDescent="0.25">
      <c r="A332" s="34" t="s">
        <v>164</v>
      </c>
      <c r="B332" s="34" t="s">
        <v>165</v>
      </c>
      <c r="C332" t="s">
        <v>166</v>
      </c>
      <c r="D332" t="s">
        <v>186</v>
      </c>
      <c r="E332" t="s">
        <v>192</v>
      </c>
      <c r="F332" t="s">
        <v>233</v>
      </c>
      <c r="G332" t="s">
        <v>169</v>
      </c>
      <c r="H332">
        <v>438</v>
      </c>
      <c r="I332" s="34">
        <f>+POWER_Regional_Daily_20150101_20190305_c11b3312[[#This Row],[Column8]]/100</f>
        <v>4.38</v>
      </c>
      <c r="J332" s="34"/>
    </row>
    <row r="333" spans="1:10" x14ac:dyDescent="0.25">
      <c r="A333" s="34" t="s">
        <v>164</v>
      </c>
      <c r="B333" s="34" t="s">
        <v>165</v>
      </c>
      <c r="C333" t="s">
        <v>166</v>
      </c>
      <c r="D333" t="s">
        <v>186</v>
      </c>
      <c r="E333" t="s">
        <v>194</v>
      </c>
      <c r="F333" t="s">
        <v>256</v>
      </c>
      <c r="G333" t="s">
        <v>169</v>
      </c>
      <c r="H333">
        <v>224</v>
      </c>
      <c r="I333" s="34">
        <f>+POWER_Regional_Daily_20150101_20190305_c11b3312[[#This Row],[Column8]]/100</f>
        <v>2.2400000000000002</v>
      </c>
      <c r="J333" s="34"/>
    </row>
    <row r="334" spans="1:10" x14ac:dyDescent="0.25">
      <c r="A334" s="34" t="s">
        <v>164</v>
      </c>
      <c r="B334" s="34" t="s">
        <v>165</v>
      </c>
      <c r="C334" t="s">
        <v>166</v>
      </c>
      <c r="D334" t="s">
        <v>186</v>
      </c>
      <c r="E334" t="s">
        <v>196</v>
      </c>
      <c r="F334" t="s">
        <v>204</v>
      </c>
      <c r="G334" t="s">
        <v>169</v>
      </c>
      <c r="H334">
        <v>409</v>
      </c>
      <c r="I334" s="34">
        <f>+POWER_Regional_Daily_20150101_20190305_c11b3312[[#This Row],[Column8]]/100</f>
        <v>4.09</v>
      </c>
      <c r="J334" s="34"/>
    </row>
    <row r="335" spans="1:10" x14ac:dyDescent="0.25">
      <c r="A335" s="34" t="s">
        <v>164</v>
      </c>
      <c r="B335" s="34" t="s">
        <v>165</v>
      </c>
      <c r="C335" t="s">
        <v>166</v>
      </c>
      <c r="D335" t="s">
        <v>186</v>
      </c>
      <c r="E335" t="s">
        <v>198</v>
      </c>
      <c r="F335" t="s">
        <v>242</v>
      </c>
      <c r="G335" t="s">
        <v>169</v>
      </c>
      <c r="H335">
        <v>233</v>
      </c>
      <c r="I335" s="34">
        <f>+POWER_Regional_Daily_20150101_20190305_c11b3312[[#This Row],[Column8]]/100</f>
        <v>2.33</v>
      </c>
      <c r="J335" s="34"/>
    </row>
    <row r="336" spans="1:10" x14ac:dyDescent="0.25">
      <c r="A336" s="34" t="s">
        <v>164</v>
      </c>
      <c r="B336" s="34" t="s">
        <v>165</v>
      </c>
      <c r="C336" t="s">
        <v>166</v>
      </c>
      <c r="D336" t="s">
        <v>186</v>
      </c>
      <c r="E336" t="s">
        <v>199</v>
      </c>
      <c r="F336" t="s">
        <v>206</v>
      </c>
      <c r="G336" t="s">
        <v>169</v>
      </c>
      <c r="H336">
        <v>369</v>
      </c>
      <c r="I336" s="34">
        <f>+POWER_Regional_Daily_20150101_20190305_c11b3312[[#This Row],[Column8]]/100</f>
        <v>3.69</v>
      </c>
      <c r="J336" s="34"/>
    </row>
    <row r="337" spans="1:10" x14ac:dyDescent="0.25">
      <c r="A337" s="34" t="s">
        <v>164</v>
      </c>
      <c r="B337" s="34" t="s">
        <v>165</v>
      </c>
      <c r="C337" t="s">
        <v>166</v>
      </c>
      <c r="D337" t="s">
        <v>186</v>
      </c>
      <c r="E337" t="s">
        <v>200</v>
      </c>
      <c r="F337" t="s">
        <v>211</v>
      </c>
      <c r="G337" t="s">
        <v>169</v>
      </c>
      <c r="H337">
        <v>399</v>
      </c>
      <c r="I337" s="34">
        <f>+POWER_Regional_Daily_20150101_20190305_c11b3312[[#This Row],[Column8]]/100</f>
        <v>3.99</v>
      </c>
      <c r="J337" s="34"/>
    </row>
    <row r="338" spans="1:10" x14ac:dyDescent="0.25">
      <c r="A338" s="34" t="s">
        <v>164</v>
      </c>
      <c r="B338" s="34" t="s">
        <v>165</v>
      </c>
      <c r="C338" t="s">
        <v>166</v>
      </c>
      <c r="D338" t="s">
        <v>186</v>
      </c>
      <c r="E338" t="s">
        <v>202</v>
      </c>
      <c r="F338" t="s">
        <v>209</v>
      </c>
      <c r="G338" t="s">
        <v>169</v>
      </c>
      <c r="H338">
        <v>487</v>
      </c>
      <c r="I338" s="34">
        <f>+POWER_Regional_Daily_20150101_20190305_c11b3312[[#This Row],[Column8]]/100</f>
        <v>4.87</v>
      </c>
      <c r="J338" s="34"/>
    </row>
    <row r="339" spans="1:10" x14ac:dyDescent="0.25">
      <c r="A339" s="34" t="s">
        <v>164</v>
      </c>
      <c r="B339" s="34" t="s">
        <v>165</v>
      </c>
      <c r="C339" t="s">
        <v>166</v>
      </c>
      <c r="D339" t="s">
        <v>186</v>
      </c>
      <c r="E339" t="s">
        <v>203</v>
      </c>
      <c r="F339" t="s">
        <v>233</v>
      </c>
      <c r="G339" t="s">
        <v>169</v>
      </c>
      <c r="H339">
        <v>431</v>
      </c>
      <c r="I339" s="34">
        <f>+POWER_Regional_Daily_20150101_20190305_c11b3312[[#This Row],[Column8]]/100</f>
        <v>4.3099999999999996</v>
      </c>
      <c r="J339" s="34"/>
    </row>
    <row r="340" spans="1:10" x14ac:dyDescent="0.25">
      <c r="A340" s="34" t="s">
        <v>164</v>
      </c>
      <c r="B340" s="34" t="s">
        <v>165</v>
      </c>
      <c r="C340" t="s">
        <v>166</v>
      </c>
      <c r="D340" t="s">
        <v>186</v>
      </c>
      <c r="E340" t="s">
        <v>205</v>
      </c>
      <c r="F340" t="s">
        <v>235</v>
      </c>
      <c r="G340" t="s">
        <v>169</v>
      </c>
      <c r="H340">
        <v>471</v>
      </c>
      <c r="I340" s="34">
        <f>+POWER_Regional_Daily_20150101_20190305_c11b3312[[#This Row],[Column8]]/100</f>
        <v>4.71</v>
      </c>
      <c r="J340" s="34"/>
    </row>
    <row r="341" spans="1:10" x14ac:dyDescent="0.25">
      <c r="A341" s="34" t="s">
        <v>164</v>
      </c>
      <c r="B341" s="34" t="s">
        <v>165</v>
      </c>
      <c r="C341" t="s">
        <v>166</v>
      </c>
      <c r="D341" t="s">
        <v>186</v>
      </c>
      <c r="E341" t="s">
        <v>207</v>
      </c>
      <c r="F341" t="s">
        <v>233</v>
      </c>
      <c r="G341" t="s">
        <v>169</v>
      </c>
      <c r="H341">
        <v>429</v>
      </c>
      <c r="I341" s="34">
        <f>+POWER_Regional_Daily_20150101_20190305_c11b3312[[#This Row],[Column8]]/100</f>
        <v>4.29</v>
      </c>
      <c r="J341" s="34"/>
    </row>
    <row r="342" spans="1:10" x14ac:dyDescent="0.25">
      <c r="A342" s="34" t="s">
        <v>164</v>
      </c>
      <c r="B342" s="34" t="s">
        <v>165</v>
      </c>
      <c r="C342" t="s">
        <v>166</v>
      </c>
      <c r="D342" t="s">
        <v>186</v>
      </c>
      <c r="E342" t="s">
        <v>208</v>
      </c>
      <c r="F342" t="s">
        <v>195</v>
      </c>
      <c r="G342" t="s">
        <v>169</v>
      </c>
      <c r="H342">
        <v>442</v>
      </c>
      <c r="I342" s="34">
        <f>+POWER_Regional_Daily_20150101_20190305_c11b3312[[#This Row],[Column8]]/100</f>
        <v>4.42</v>
      </c>
      <c r="J342" s="34"/>
    </row>
    <row r="343" spans="1:10" x14ac:dyDescent="0.25">
      <c r="A343" s="34" t="s">
        <v>164</v>
      </c>
      <c r="B343" s="34" t="s">
        <v>165</v>
      </c>
      <c r="C343" t="s">
        <v>166</v>
      </c>
      <c r="D343" t="s">
        <v>186</v>
      </c>
      <c r="E343" t="s">
        <v>210</v>
      </c>
      <c r="F343" t="s">
        <v>238</v>
      </c>
      <c r="G343" t="s">
        <v>169</v>
      </c>
      <c r="H343">
        <v>590</v>
      </c>
      <c r="I343" s="34">
        <f>+POWER_Regional_Daily_20150101_20190305_c11b3312[[#This Row],[Column8]]/100</f>
        <v>5.9</v>
      </c>
      <c r="J343" s="34"/>
    </row>
    <row r="344" spans="1:10" x14ac:dyDescent="0.25">
      <c r="A344" s="34" t="s">
        <v>164</v>
      </c>
      <c r="B344" s="34" t="s">
        <v>165</v>
      </c>
      <c r="C344" t="s">
        <v>166</v>
      </c>
      <c r="D344" t="s">
        <v>186</v>
      </c>
      <c r="E344" t="s">
        <v>212</v>
      </c>
      <c r="F344" t="s">
        <v>181</v>
      </c>
      <c r="G344" t="s">
        <v>169</v>
      </c>
      <c r="H344">
        <v>521</v>
      </c>
      <c r="I344" s="34">
        <f>+POWER_Regional_Daily_20150101_20190305_c11b3312[[#This Row],[Column8]]/100</f>
        <v>5.21</v>
      </c>
      <c r="J344" s="34"/>
    </row>
    <row r="345" spans="1:10" x14ac:dyDescent="0.25">
      <c r="A345" s="34" t="s">
        <v>164</v>
      </c>
      <c r="B345" s="34" t="s">
        <v>165</v>
      </c>
      <c r="C345" t="s">
        <v>166</v>
      </c>
      <c r="D345" t="s">
        <v>186</v>
      </c>
      <c r="E345" t="s">
        <v>214</v>
      </c>
      <c r="F345" t="s">
        <v>187</v>
      </c>
      <c r="G345" t="s">
        <v>169</v>
      </c>
      <c r="H345">
        <v>-999</v>
      </c>
      <c r="I345" s="34">
        <f>+POWER_Regional_Daily_20150101_20190305_c11b3312[[#This Row],[Column8]]/100</f>
        <v>-9.99</v>
      </c>
      <c r="J345" s="34"/>
    </row>
    <row r="346" spans="1:10" x14ac:dyDescent="0.25">
      <c r="A346" s="34" t="s">
        <v>164</v>
      </c>
      <c r="B346" s="34" t="s">
        <v>165</v>
      </c>
      <c r="C346" t="s">
        <v>166</v>
      </c>
      <c r="D346" t="s">
        <v>186</v>
      </c>
      <c r="E346" t="s">
        <v>215</v>
      </c>
      <c r="F346" t="s">
        <v>243</v>
      </c>
      <c r="G346" t="s">
        <v>169</v>
      </c>
      <c r="H346">
        <v>291</v>
      </c>
      <c r="I346" s="34">
        <f>+POWER_Regional_Daily_20150101_20190305_c11b3312[[#This Row],[Column8]]/100</f>
        <v>2.91</v>
      </c>
      <c r="J346" s="34"/>
    </row>
    <row r="347" spans="1:10" x14ac:dyDescent="0.25">
      <c r="A347" s="34" t="s">
        <v>164</v>
      </c>
      <c r="B347" s="34" t="s">
        <v>165</v>
      </c>
      <c r="C347" t="s">
        <v>166</v>
      </c>
      <c r="D347" t="s">
        <v>186</v>
      </c>
      <c r="E347" t="s">
        <v>217</v>
      </c>
      <c r="F347" t="s">
        <v>236</v>
      </c>
      <c r="G347" t="s">
        <v>169</v>
      </c>
      <c r="H347">
        <v>483</v>
      </c>
      <c r="I347" s="34">
        <f>+POWER_Regional_Daily_20150101_20190305_c11b3312[[#This Row],[Column8]]/100</f>
        <v>4.83</v>
      </c>
      <c r="J347" s="34"/>
    </row>
    <row r="348" spans="1:10" x14ac:dyDescent="0.25">
      <c r="A348" s="34" t="s">
        <v>164</v>
      </c>
      <c r="B348" s="34" t="s">
        <v>165</v>
      </c>
      <c r="C348" t="s">
        <v>166</v>
      </c>
      <c r="D348" t="s">
        <v>186</v>
      </c>
      <c r="E348" t="s">
        <v>219</v>
      </c>
      <c r="F348" t="s">
        <v>209</v>
      </c>
      <c r="G348" t="s">
        <v>169</v>
      </c>
      <c r="H348">
        <v>480</v>
      </c>
      <c r="I348" s="34">
        <f>+POWER_Regional_Daily_20150101_20190305_c11b3312[[#This Row],[Column8]]/100</f>
        <v>4.8</v>
      </c>
      <c r="J348" s="34"/>
    </row>
    <row r="349" spans="1:10" x14ac:dyDescent="0.25">
      <c r="A349" s="34" t="s">
        <v>164</v>
      </c>
      <c r="B349" s="34" t="s">
        <v>165</v>
      </c>
      <c r="C349" t="s">
        <v>166</v>
      </c>
      <c r="D349" t="s">
        <v>188</v>
      </c>
      <c r="E349" t="s">
        <v>167</v>
      </c>
      <c r="F349" t="s">
        <v>240</v>
      </c>
      <c r="G349" t="s">
        <v>169</v>
      </c>
      <c r="H349">
        <v>264</v>
      </c>
      <c r="I349" s="34">
        <f>+POWER_Regional_Daily_20150101_20190305_c11b3312[[#This Row],[Column8]]/100</f>
        <v>2.64</v>
      </c>
      <c r="J349" s="34"/>
    </row>
    <row r="350" spans="1:10" x14ac:dyDescent="0.25">
      <c r="A350" s="34" t="s">
        <v>164</v>
      </c>
      <c r="B350" s="34" t="s">
        <v>165</v>
      </c>
      <c r="C350" t="s">
        <v>166</v>
      </c>
      <c r="D350" t="s">
        <v>188</v>
      </c>
      <c r="E350" t="s">
        <v>170</v>
      </c>
      <c r="F350" t="s">
        <v>218</v>
      </c>
      <c r="G350" t="s">
        <v>169</v>
      </c>
      <c r="H350">
        <v>542</v>
      </c>
      <c r="I350" s="34">
        <f>+POWER_Regional_Daily_20150101_20190305_c11b3312[[#This Row],[Column8]]/100</f>
        <v>5.42</v>
      </c>
      <c r="J350" s="34"/>
    </row>
    <row r="351" spans="1:10" x14ac:dyDescent="0.25">
      <c r="A351" s="34" t="s">
        <v>164</v>
      </c>
      <c r="B351" s="34" t="s">
        <v>165</v>
      </c>
      <c r="C351" t="s">
        <v>166</v>
      </c>
      <c r="D351" t="s">
        <v>188</v>
      </c>
      <c r="E351" t="s">
        <v>172</v>
      </c>
      <c r="F351" t="s">
        <v>195</v>
      </c>
      <c r="G351" t="s">
        <v>169</v>
      </c>
      <c r="H351">
        <v>434</v>
      </c>
      <c r="I351" s="34">
        <f>+POWER_Regional_Daily_20150101_20190305_c11b3312[[#This Row],[Column8]]/100</f>
        <v>4.34</v>
      </c>
      <c r="J351" s="34"/>
    </row>
    <row r="352" spans="1:10" x14ac:dyDescent="0.25">
      <c r="A352" s="34" t="s">
        <v>164</v>
      </c>
      <c r="B352" s="34" t="s">
        <v>165</v>
      </c>
      <c r="C352" t="s">
        <v>166</v>
      </c>
      <c r="D352" t="s">
        <v>188</v>
      </c>
      <c r="E352" t="s">
        <v>174</v>
      </c>
      <c r="F352" t="s">
        <v>197</v>
      </c>
      <c r="G352" t="s">
        <v>169</v>
      </c>
      <c r="H352">
        <v>407</v>
      </c>
      <c r="I352" s="34">
        <f>+POWER_Regional_Daily_20150101_20190305_c11b3312[[#This Row],[Column8]]/100</f>
        <v>4.07</v>
      </c>
      <c r="J352" s="34"/>
    </row>
    <row r="353" spans="1:10" x14ac:dyDescent="0.25">
      <c r="A353" s="34" t="s">
        <v>164</v>
      </c>
      <c r="B353" s="34" t="s">
        <v>165</v>
      </c>
      <c r="C353" t="s">
        <v>166</v>
      </c>
      <c r="D353" t="s">
        <v>188</v>
      </c>
      <c r="E353" t="s">
        <v>175</v>
      </c>
      <c r="F353" t="s">
        <v>185</v>
      </c>
      <c r="G353" t="s">
        <v>169</v>
      </c>
      <c r="H353">
        <v>566</v>
      </c>
      <c r="I353" s="34">
        <f>+POWER_Regional_Daily_20150101_20190305_c11b3312[[#This Row],[Column8]]/100</f>
        <v>5.66</v>
      </c>
      <c r="J353" s="34"/>
    </row>
    <row r="354" spans="1:10" x14ac:dyDescent="0.25">
      <c r="A354" s="34" t="s">
        <v>164</v>
      </c>
      <c r="B354" s="34" t="s">
        <v>165</v>
      </c>
      <c r="C354" t="s">
        <v>166</v>
      </c>
      <c r="D354" t="s">
        <v>188</v>
      </c>
      <c r="E354" t="s">
        <v>177</v>
      </c>
      <c r="F354" t="s">
        <v>211</v>
      </c>
      <c r="G354" t="s">
        <v>169</v>
      </c>
      <c r="H354">
        <v>386</v>
      </c>
      <c r="I354" s="34">
        <f>+POWER_Regional_Daily_20150101_20190305_c11b3312[[#This Row],[Column8]]/100</f>
        <v>3.86</v>
      </c>
      <c r="J354" s="34"/>
    </row>
    <row r="355" spans="1:10" x14ac:dyDescent="0.25">
      <c r="A355" s="34" t="s">
        <v>164</v>
      </c>
      <c r="B355" s="34" t="s">
        <v>165</v>
      </c>
      <c r="C355" t="s">
        <v>166</v>
      </c>
      <c r="D355" t="s">
        <v>188</v>
      </c>
      <c r="E355" t="s">
        <v>178</v>
      </c>
      <c r="F355" t="s">
        <v>233</v>
      </c>
      <c r="G355" t="s">
        <v>169</v>
      </c>
      <c r="H355">
        <v>424</v>
      </c>
      <c r="I355" s="34">
        <f>+POWER_Regional_Daily_20150101_20190305_c11b3312[[#This Row],[Column8]]/100</f>
        <v>4.24</v>
      </c>
      <c r="J355" s="34"/>
    </row>
    <row r="356" spans="1:10" x14ac:dyDescent="0.25">
      <c r="A356" s="34" t="s">
        <v>164</v>
      </c>
      <c r="B356" s="34" t="s">
        <v>165</v>
      </c>
      <c r="C356" t="s">
        <v>166</v>
      </c>
      <c r="D356" t="s">
        <v>188</v>
      </c>
      <c r="E356" t="s">
        <v>180</v>
      </c>
      <c r="F356" t="s">
        <v>223</v>
      </c>
      <c r="G356" t="s">
        <v>169</v>
      </c>
      <c r="H356">
        <v>457</v>
      </c>
      <c r="I356" s="34">
        <f>+POWER_Regional_Daily_20150101_20190305_c11b3312[[#This Row],[Column8]]/100</f>
        <v>4.57</v>
      </c>
      <c r="J356" s="34"/>
    </row>
    <row r="357" spans="1:10" x14ac:dyDescent="0.25">
      <c r="A357" s="34" t="s">
        <v>164</v>
      </c>
      <c r="B357" s="34" t="s">
        <v>165</v>
      </c>
      <c r="C357" t="s">
        <v>166</v>
      </c>
      <c r="D357" t="s">
        <v>188</v>
      </c>
      <c r="E357" t="s">
        <v>182</v>
      </c>
      <c r="F357" t="s">
        <v>223</v>
      </c>
      <c r="G357" t="s">
        <v>169</v>
      </c>
      <c r="H357">
        <v>453</v>
      </c>
      <c r="I357" s="34">
        <f>+POWER_Regional_Daily_20150101_20190305_c11b3312[[#This Row],[Column8]]/100</f>
        <v>4.53</v>
      </c>
      <c r="J357" s="34"/>
    </row>
    <row r="358" spans="1:10" x14ac:dyDescent="0.25">
      <c r="A358" s="34" t="s">
        <v>164</v>
      </c>
      <c r="B358" s="34" t="s">
        <v>165</v>
      </c>
      <c r="C358" t="s">
        <v>166</v>
      </c>
      <c r="D358" t="s">
        <v>188</v>
      </c>
      <c r="E358" t="s">
        <v>184</v>
      </c>
      <c r="F358" t="s">
        <v>222</v>
      </c>
      <c r="G358" t="s">
        <v>169</v>
      </c>
      <c r="H358">
        <v>500</v>
      </c>
      <c r="I358" s="34">
        <f>+POWER_Regional_Daily_20150101_20190305_c11b3312[[#This Row],[Column8]]/100</f>
        <v>5</v>
      </c>
      <c r="J358" s="34"/>
    </row>
    <row r="359" spans="1:10" x14ac:dyDescent="0.25">
      <c r="A359" s="34" t="s">
        <v>164</v>
      </c>
      <c r="B359" s="34" t="s">
        <v>165</v>
      </c>
      <c r="C359" t="s">
        <v>166</v>
      </c>
      <c r="D359" t="s">
        <v>188</v>
      </c>
      <c r="E359" t="s">
        <v>186</v>
      </c>
      <c r="F359" t="s">
        <v>201</v>
      </c>
      <c r="G359" t="s">
        <v>169</v>
      </c>
      <c r="H359">
        <v>486</v>
      </c>
      <c r="I359" s="34">
        <f>+POWER_Regional_Daily_20150101_20190305_c11b3312[[#This Row],[Column8]]/100</f>
        <v>4.8600000000000003</v>
      </c>
      <c r="J359" s="34"/>
    </row>
    <row r="360" spans="1:10" x14ac:dyDescent="0.25">
      <c r="A360" s="34" t="s">
        <v>164</v>
      </c>
      <c r="B360" s="34" t="s">
        <v>165</v>
      </c>
      <c r="C360" t="s">
        <v>166</v>
      </c>
      <c r="D360" t="s">
        <v>188</v>
      </c>
      <c r="E360" t="s">
        <v>188</v>
      </c>
      <c r="F360" t="s">
        <v>176</v>
      </c>
      <c r="G360" t="s">
        <v>255</v>
      </c>
      <c r="H360">
        <v>612</v>
      </c>
      <c r="I360" s="34">
        <f>+POWER_Regional_Daily_20150101_20190305_c11b3312[[#This Row],[Column8]]/100</f>
        <v>6.12</v>
      </c>
      <c r="J360" s="34"/>
    </row>
    <row r="361" spans="1:10" x14ac:dyDescent="0.25">
      <c r="A361" s="34" t="s">
        <v>164</v>
      </c>
      <c r="B361" s="34" t="s">
        <v>165</v>
      </c>
      <c r="C361" t="s">
        <v>166</v>
      </c>
      <c r="D361" t="s">
        <v>188</v>
      </c>
      <c r="E361" t="s">
        <v>190</v>
      </c>
      <c r="F361" t="s">
        <v>187</v>
      </c>
      <c r="G361" t="s">
        <v>169</v>
      </c>
      <c r="H361">
        <v>-999</v>
      </c>
      <c r="I361" s="34">
        <f>+POWER_Regional_Daily_20150101_20190305_c11b3312[[#This Row],[Column8]]/100</f>
        <v>-9.99</v>
      </c>
      <c r="J361" s="34"/>
    </row>
    <row r="362" spans="1:10" x14ac:dyDescent="0.25">
      <c r="A362" s="34" t="s">
        <v>164</v>
      </c>
      <c r="B362" s="34" t="s">
        <v>165</v>
      </c>
      <c r="C362" t="s">
        <v>166</v>
      </c>
      <c r="D362" t="s">
        <v>188</v>
      </c>
      <c r="E362" t="s">
        <v>192</v>
      </c>
      <c r="F362" t="s">
        <v>239</v>
      </c>
      <c r="G362" t="s">
        <v>169</v>
      </c>
      <c r="H362">
        <v>333</v>
      </c>
      <c r="I362" s="34">
        <f>+POWER_Regional_Daily_20150101_20190305_c11b3312[[#This Row],[Column8]]/100</f>
        <v>3.33</v>
      </c>
      <c r="J362" s="34"/>
    </row>
    <row r="363" spans="1:10" x14ac:dyDescent="0.25">
      <c r="A363" s="34" t="s">
        <v>164</v>
      </c>
      <c r="B363" s="34" t="s">
        <v>165</v>
      </c>
      <c r="C363" t="s">
        <v>166</v>
      </c>
      <c r="D363" t="s">
        <v>188</v>
      </c>
      <c r="E363" t="s">
        <v>194</v>
      </c>
      <c r="F363" t="s">
        <v>204</v>
      </c>
      <c r="G363" t="s">
        <v>169</v>
      </c>
      <c r="H363">
        <v>398</v>
      </c>
      <c r="I363" s="34">
        <f>+POWER_Regional_Daily_20150101_20190305_c11b3312[[#This Row],[Column8]]/100</f>
        <v>3.98</v>
      </c>
      <c r="J363" s="34"/>
    </row>
    <row r="364" spans="1:10" x14ac:dyDescent="0.25">
      <c r="A364" s="34" t="s">
        <v>164</v>
      </c>
      <c r="B364" s="34" t="s">
        <v>165</v>
      </c>
      <c r="C364" t="s">
        <v>166</v>
      </c>
      <c r="D364" t="s">
        <v>188</v>
      </c>
      <c r="E364" t="s">
        <v>196</v>
      </c>
      <c r="F364" t="s">
        <v>231</v>
      </c>
      <c r="G364" t="s">
        <v>169</v>
      </c>
      <c r="H364">
        <v>440</v>
      </c>
      <c r="I364" s="34">
        <f>+POWER_Regional_Daily_20150101_20190305_c11b3312[[#This Row],[Column8]]/100</f>
        <v>4.4000000000000004</v>
      </c>
      <c r="J364" s="34"/>
    </row>
    <row r="365" spans="1:10" x14ac:dyDescent="0.25">
      <c r="A365" s="34" t="s">
        <v>164</v>
      </c>
      <c r="B365" s="34" t="s">
        <v>165</v>
      </c>
      <c r="C365" t="s">
        <v>166</v>
      </c>
      <c r="D365" t="s">
        <v>188</v>
      </c>
      <c r="E365" t="s">
        <v>198</v>
      </c>
      <c r="F365" t="s">
        <v>229</v>
      </c>
      <c r="G365" t="s">
        <v>169</v>
      </c>
      <c r="H365">
        <v>318</v>
      </c>
      <c r="I365" s="34">
        <f>+POWER_Regional_Daily_20150101_20190305_c11b3312[[#This Row],[Column8]]/100</f>
        <v>3.18</v>
      </c>
      <c r="J365" s="34"/>
    </row>
    <row r="366" spans="1:10" x14ac:dyDescent="0.25">
      <c r="A366" s="34" t="s">
        <v>164</v>
      </c>
      <c r="B366" s="34" t="s">
        <v>165</v>
      </c>
      <c r="C366" t="s">
        <v>166</v>
      </c>
      <c r="D366" t="s">
        <v>188</v>
      </c>
      <c r="E366" t="s">
        <v>199</v>
      </c>
      <c r="F366" t="s">
        <v>204</v>
      </c>
      <c r="G366" t="s">
        <v>169</v>
      </c>
      <c r="H366">
        <v>391</v>
      </c>
      <c r="I366" s="34">
        <f>+POWER_Regional_Daily_20150101_20190305_c11b3312[[#This Row],[Column8]]/100</f>
        <v>3.91</v>
      </c>
      <c r="J366" s="34"/>
    </row>
    <row r="367" spans="1:10" x14ac:dyDescent="0.25">
      <c r="A367" s="34" t="s">
        <v>164</v>
      </c>
      <c r="B367" s="34" t="s">
        <v>165</v>
      </c>
      <c r="C367" t="s">
        <v>166</v>
      </c>
      <c r="D367" t="s">
        <v>188</v>
      </c>
      <c r="E367" t="s">
        <v>200</v>
      </c>
      <c r="F367" t="s">
        <v>213</v>
      </c>
      <c r="G367" t="s">
        <v>169</v>
      </c>
      <c r="H367">
        <v>507</v>
      </c>
      <c r="I367" s="34">
        <f>+POWER_Regional_Daily_20150101_20190305_c11b3312[[#This Row],[Column8]]/100</f>
        <v>5.07</v>
      </c>
      <c r="J367" s="34"/>
    </row>
    <row r="368" spans="1:10" x14ac:dyDescent="0.25">
      <c r="A368" s="34" t="s">
        <v>164</v>
      </c>
      <c r="B368" s="34" t="s">
        <v>165</v>
      </c>
      <c r="C368" t="s">
        <v>166</v>
      </c>
      <c r="D368" t="s">
        <v>188</v>
      </c>
      <c r="E368" t="s">
        <v>202</v>
      </c>
      <c r="F368" t="s">
        <v>185</v>
      </c>
      <c r="G368" t="s">
        <v>169</v>
      </c>
      <c r="H368">
        <v>562</v>
      </c>
      <c r="I368" s="34">
        <f>+POWER_Regional_Daily_20150101_20190305_c11b3312[[#This Row],[Column8]]/100</f>
        <v>5.62</v>
      </c>
      <c r="J368" s="34"/>
    </row>
    <row r="369" spans="1:10" x14ac:dyDescent="0.25">
      <c r="A369" s="34" t="s">
        <v>164</v>
      </c>
      <c r="B369" s="34" t="s">
        <v>165</v>
      </c>
      <c r="C369" t="s">
        <v>166</v>
      </c>
      <c r="D369" t="s">
        <v>188</v>
      </c>
      <c r="E369" t="s">
        <v>203</v>
      </c>
      <c r="F369" t="s">
        <v>232</v>
      </c>
      <c r="G369" t="s">
        <v>306</v>
      </c>
      <c r="H369">
        <v>553</v>
      </c>
      <c r="I369" s="34">
        <f>+POWER_Regional_Daily_20150101_20190305_c11b3312[[#This Row],[Column8]]/100</f>
        <v>5.53</v>
      </c>
      <c r="J369" s="34"/>
    </row>
    <row r="370" spans="1:10" x14ac:dyDescent="0.25">
      <c r="A370" s="34" t="s">
        <v>164</v>
      </c>
      <c r="B370" s="34" t="s">
        <v>165</v>
      </c>
      <c r="C370" t="s">
        <v>166</v>
      </c>
      <c r="D370" t="s">
        <v>188</v>
      </c>
      <c r="E370" t="s">
        <v>205</v>
      </c>
      <c r="F370" t="s">
        <v>221</v>
      </c>
      <c r="G370" t="s">
        <v>169</v>
      </c>
      <c r="H370">
        <v>373</v>
      </c>
      <c r="I370" s="34">
        <f>+POWER_Regional_Daily_20150101_20190305_c11b3312[[#This Row],[Column8]]/100</f>
        <v>3.73</v>
      </c>
      <c r="J370" s="34"/>
    </row>
    <row r="371" spans="1:10" x14ac:dyDescent="0.25">
      <c r="A371" s="34" t="s">
        <v>164</v>
      </c>
      <c r="B371" s="34" t="s">
        <v>165</v>
      </c>
      <c r="C371" t="s">
        <v>166</v>
      </c>
      <c r="D371" t="s">
        <v>188</v>
      </c>
      <c r="E371" t="s">
        <v>207</v>
      </c>
      <c r="F371" t="s">
        <v>185</v>
      </c>
      <c r="G371" t="s">
        <v>169</v>
      </c>
      <c r="H371">
        <v>559</v>
      </c>
      <c r="I371" s="34">
        <f>+POWER_Regional_Daily_20150101_20190305_c11b3312[[#This Row],[Column8]]/100</f>
        <v>5.59</v>
      </c>
      <c r="J371" s="34"/>
    </row>
    <row r="372" spans="1:10" x14ac:dyDescent="0.25">
      <c r="A372" s="34" t="s">
        <v>164</v>
      </c>
      <c r="B372" s="34" t="s">
        <v>165</v>
      </c>
      <c r="C372" t="s">
        <v>166</v>
      </c>
      <c r="D372" t="s">
        <v>188</v>
      </c>
      <c r="E372" t="s">
        <v>208</v>
      </c>
      <c r="F372" t="s">
        <v>185</v>
      </c>
      <c r="G372" t="s">
        <v>169</v>
      </c>
      <c r="H372">
        <v>560</v>
      </c>
      <c r="I372" s="34">
        <f>+POWER_Regional_Daily_20150101_20190305_c11b3312[[#This Row],[Column8]]/100</f>
        <v>5.6</v>
      </c>
      <c r="J372" s="34"/>
    </row>
    <row r="373" spans="1:10" x14ac:dyDescent="0.25">
      <c r="A373" s="34" t="s">
        <v>164</v>
      </c>
      <c r="B373" s="34" t="s">
        <v>165</v>
      </c>
      <c r="C373" t="s">
        <v>166</v>
      </c>
      <c r="D373" t="s">
        <v>188</v>
      </c>
      <c r="E373" t="s">
        <v>210</v>
      </c>
      <c r="F373" t="s">
        <v>248</v>
      </c>
      <c r="G373" t="s">
        <v>254</v>
      </c>
      <c r="H373">
        <v>615</v>
      </c>
      <c r="I373" s="34">
        <f>+POWER_Regional_Daily_20150101_20190305_c11b3312[[#This Row],[Column8]]/100</f>
        <v>6.15</v>
      </c>
      <c r="J373" s="34"/>
    </row>
    <row r="374" spans="1:10" x14ac:dyDescent="0.25">
      <c r="A374" s="34" t="s">
        <v>164</v>
      </c>
      <c r="B374" s="34" t="s">
        <v>165</v>
      </c>
      <c r="C374" t="s">
        <v>166</v>
      </c>
      <c r="D374" t="s">
        <v>188</v>
      </c>
      <c r="E374" t="s">
        <v>212</v>
      </c>
      <c r="F374" t="s">
        <v>181</v>
      </c>
      <c r="G374" t="s">
        <v>169</v>
      </c>
      <c r="H374">
        <v>516</v>
      </c>
      <c r="I374" s="34">
        <f>+POWER_Regional_Daily_20150101_20190305_c11b3312[[#This Row],[Column8]]/100</f>
        <v>5.16</v>
      </c>
      <c r="J374" s="34"/>
    </row>
    <row r="375" spans="1:10" x14ac:dyDescent="0.25">
      <c r="A375" s="34" t="s">
        <v>164</v>
      </c>
      <c r="B375" s="34" t="s">
        <v>165</v>
      </c>
      <c r="C375" t="s">
        <v>166</v>
      </c>
      <c r="D375" t="s">
        <v>188</v>
      </c>
      <c r="E375" t="s">
        <v>214</v>
      </c>
      <c r="F375" t="s">
        <v>234</v>
      </c>
      <c r="G375" t="s">
        <v>169</v>
      </c>
      <c r="H375">
        <v>603</v>
      </c>
      <c r="I375" s="34">
        <f>+POWER_Regional_Daily_20150101_20190305_c11b3312[[#This Row],[Column8]]/100</f>
        <v>6.03</v>
      </c>
      <c r="J375" s="34"/>
    </row>
    <row r="376" spans="1:10" x14ac:dyDescent="0.25">
      <c r="A376" s="34" t="s">
        <v>164</v>
      </c>
      <c r="B376" s="34" t="s">
        <v>165</v>
      </c>
      <c r="C376" t="s">
        <v>166</v>
      </c>
      <c r="D376" t="s">
        <v>188</v>
      </c>
      <c r="E376" t="s">
        <v>215</v>
      </c>
      <c r="F376" t="s">
        <v>222</v>
      </c>
      <c r="G376" t="s">
        <v>169</v>
      </c>
      <c r="H376">
        <v>501</v>
      </c>
      <c r="I376" s="34">
        <f>+POWER_Regional_Daily_20150101_20190305_c11b3312[[#This Row],[Column8]]/100</f>
        <v>5.01</v>
      </c>
      <c r="J376" s="34"/>
    </row>
    <row r="377" spans="1:10" x14ac:dyDescent="0.25">
      <c r="A377" s="34" t="s">
        <v>164</v>
      </c>
      <c r="B377" s="34" t="s">
        <v>165</v>
      </c>
      <c r="C377" t="s">
        <v>166</v>
      </c>
      <c r="D377" t="s">
        <v>188</v>
      </c>
      <c r="E377" t="s">
        <v>217</v>
      </c>
      <c r="F377" t="s">
        <v>187</v>
      </c>
      <c r="G377" t="s">
        <v>169</v>
      </c>
      <c r="H377">
        <v>-999</v>
      </c>
      <c r="I377" s="34">
        <f>+POWER_Regional_Daily_20150101_20190305_c11b3312[[#This Row],[Column8]]/100</f>
        <v>-9.99</v>
      </c>
      <c r="J377" s="34"/>
    </row>
    <row r="378" spans="1:10" x14ac:dyDescent="0.25">
      <c r="A378" s="34" t="s">
        <v>164</v>
      </c>
      <c r="B378" s="34" t="s">
        <v>165</v>
      </c>
      <c r="C378" t="s">
        <v>166</v>
      </c>
      <c r="D378" t="s">
        <v>188</v>
      </c>
      <c r="E378" t="s">
        <v>219</v>
      </c>
      <c r="F378" t="s">
        <v>234</v>
      </c>
      <c r="G378" t="s">
        <v>307</v>
      </c>
      <c r="H378">
        <v>597</v>
      </c>
      <c r="I378" s="34">
        <f>+POWER_Regional_Daily_20150101_20190305_c11b3312[[#This Row],[Column8]]/100</f>
        <v>5.97</v>
      </c>
      <c r="J378" s="34"/>
    </row>
    <row r="379" spans="1:10" x14ac:dyDescent="0.25">
      <c r="A379" s="34" t="s">
        <v>164</v>
      </c>
      <c r="B379" s="34" t="s">
        <v>165</v>
      </c>
      <c r="C379" t="s">
        <v>166</v>
      </c>
      <c r="D379" t="s">
        <v>188</v>
      </c>
      <c r="E379" t="s">
        <v>220</v>
      </c>
      <c r="F379" t="s">
        <v>218</v>
      </c>
      <c r="G379" t="s">
        <v>169</v>
      </c>
      <c r="H379">
        <v>534</v>
      </c>
      <c r="I379" s="34">
        <f>+POWER_Regional_Daily_20150101_20190305_c11b3312[[#This Row],[Column8]]/100</f>
        <v>5.34</v>
      </c>
      <c r="J379" s="34"/>
    </row>
    <row r="380" spans="1:10" x14ac:dyDescent="0.25">
      <c r="A380" s="34" t="s">
        <v>164</v>
      </c>
      <c r="B380" s="34" t="s">
        <v>165</v>
      </c>
      <c r="C380" t="s">
        <v>253</v>
      </c>
      <c r="D380" t="s">
        <v>167</v>
      </c>
      <c r="E380" t="s">
        <v>167</v>
      </c>
      <c r="F380" t="s">
        <v>233</v>
      </c>
      <c r="G380" t="s">
        <v>169</v>
      </c>
      <c r="H380">
        <v>424</v>
      </c>
      <c r="I380" s="34">
        <f>+POWER_Regional_Daily_20150101_20190305_c11b3312[[#This Row],[Column8]]/100</f>
        <v>4.24</v>
      </c>
      <c r="J380" s="34"/>
    </row>
    <row r="381" spans="1:10" x14ac:dyDescent="0.25">
      <c r="A381" s="34" t="s">
        <v>164</v>
      </c>
      <c r="B381" s="34" t="s">
        <v>165</v>
      </c>
      <c r="C381" t="s">
        <v>253</v>
      </c>
      <c r="D381" t="s">
        <v>167</v>
      </c>
      <c r="E381" t="s">
        <v>170</v>
      </c>
      <c r="F381" t="s">
        <v>227</v>
      </c>
      <c r="G381" t="s">
        <v>169</v>
      </c>
      <c r="H381">
        <v>303</v>
      </c>
      <c r="I381" s="34">
        <f>+POWER_Regional_Daily_20150101_20190305_c11b3312[[#This Row],[Column8]]/100</f>
        <v>3.03</v>
      </c>
      <c r="J381" s="34"/>
    </row>
    <row r="382" spans="1:10" x14ac:dyDescent="0.25">
      <c r="A382" s="34" t="s">
        <v>164</v>
      </c>
      <c r="B382" s="34" t="s">
        <v>165</v>
      </c>
      <c r="C382" t="s">
        <v>253</v>
      </c>
      <c r="D382" t="s">
        <v>167</v>
      </c>
      <c r="E382" t="s">
        <v>172</v>
      </c>
      <c r="F382" t="s">
        <v>183</v>
      </c>
      <c r="G382" t="s">
        <v>169</v>
      </c>
      <c r="H382">
        <v>532</v>
      </c>
      <c r="I382" s="34">
        <f>+POWER_Regional_Daily_20150101_20190305_c11b3312[[#This Row],[Column8]]/100</f>
        <v>5.32</v>
      </c>
      <c r="J382" s="34"/>
    </row>
    <row r="383" spans="1:10" x14ac:dyDescent="0.25">
      <c r="A383" s="34" t="s">
        <v>164</v>
      </c>
      <c r="B383" s="34" t="s">
        <v>165</v>
      </c>
      <c r="C383" t="s">
        <v>253</v>
      </c>
      <c r="D383" t="s">
        <v>167</v>
      </c>
      <c r="E383" t="s">
        <v>174</v>
      </c>
      <c r="F383" t="s">
        <v>243</v>
      </c>
      <c r="G383" t="s">
        <v>169</v>
      </c>
      <c r="H383">
        <v>290</v>
      </c>
      <c r="I383" s="34">
        <f>+POWER_Regional_Daily_20150101_20190305_c11b3312[[#This Row],[Column8]]/100</f>
        <v>2.9</v>
      </c>
      <c r="J383" s="34"/>
    </row>
    <row r="384" spans="1:10" x14ac:dyDescent="0.25">
      <c r="A384" s="34" t="s">
        <v>164</v>
      </c>
      <c r="B384" s="34" t="s">
        <v>165</v>
      </c>
      <c r="C384" t="s">
        <v>253</v>
      </c>
      <c r="D384" t="s">
        <v>167</v>
      </c>
      <c r="E384" t="s">
        <v>175</v>
      </c>
      <c r="F384" t="s">
        <v>209</v>
      </c>
      <c r="G384" t="s">
        <v>169</v>
      </c>
      <c r="H384">
        <v>477</v>
      </c>
      <c r="I384" s="34">
        <f>+POWER_Regional_Daily_20150101_20190305_c11b3312[[#This Row],[Column8]]/100</f>
        <v>4.7699999999999996</v>
      </c>
      <c r="J384" s="34"/>
    </row>
    <row r="385" spans="1:10" x14ac:dyDescent="0.25">
      <c r="A385" s="34" t="s">
        <v>164</v>
      </c>
      <c r="B385" s="34" t="s">
        <v>165</v>
      </c>
      <c r="C385" t="s">
        <v>253</v>
      </c>
      <c r="D385" t="s">
        <v>167</v>
      </c>
      <c r="E385" t="s">
        <v>177</v>
      </c>
      <c r="F385" t="s">
        <v>204</v>
      </c>
      <c r="G385" t="s">
        <v>169</v>
      </c>
      <c r="H385">
        <v>396</v>
      </c>
      <c r="I385" s="34">
        <f>+POWER_Regional_Daily_20150101_20190305_c11b3312[[#This Row],[Column8]]/100</f>
        <v>3.96</v>
      </c>
      <c r="J385" s="34"/>
    </row>
    <row r="386" spans="1:10" x14ac:dyDescent="0.25">
      <c r="A386" s="34" t="s">
        <v>164</v>
      </c>
      <c r="B386" s="34" t="s">
        <v>165</v>
      </c>
      <c r="C386" t="s">
        <v>253</v>
      </c>
      <c r="D386" t="s">
        <v>167</v>
      </c>
      <c r="E386" t="s">
        <v>178</v>
      </c>
      <c r="F386" t="s">
        <v>233</v>
      </c>
      <c r="G386" t="s">
        <v>169</v>
      </c>
      <c r="H386">
        <v>432</v>
      </c>
      <c r="I386" s="34">
        <f>+POWER_Regional_Daily_20150101_20190305_c11b3312[[#This Row],[Column8]]/100</f>
        <v>4.32</v>
      </c>
      <c r="J386" s="34"/>
    </row>
    <row r="387" spans="1:10" x14ac:dyDescent="0.25">
      <c r="A387" s="34" t="s">
        <v>164</v>
      </c>
      <c r="B387" s="34" t="s">
        <v>165</v>
      </c>
      <c r="C387" t="s">
        <v>253</v>
      </c>
      <c r="D387" t="s">
        <v>167</v>
      </c>
      <c r="E387" t="s">
        <v>180</v>
      </c>
      <c r="F387" t="s">
        <v>201</v>
      </c>
      <c r="G387" t="s">
        <v>169</v>
      </c>
      <c r="H387">
        <v>494</v>
      </c>
      <c r="I387" s="34">
        <f>+POWER_Regional_Daily_20150101_20190305_c11b3312[[#This Row],[Column8]]/100</f>
        <v>4.9400000000000004</v>
      </c>
      <c r="J387" s="34"/>
    </row>
    <row r="388" spans="1:10" x14ac:dyDescent="0.25">
      <c r="A388" s="34" t="s">
        <v>164</v>
      </c>
      <c r="B388" s="34" t="s">
        <v>165</v>
      </c>
      <c r="C388" t="s">
        <v>253</v>
      </c>
      <c r="D388" t="s">
        <v>167</v>
      </c>
      <c r="E388" t="s">
        <v>182</v>
      </c>
      <c r="F388" t="s">
        <v>213</v>
      </c>
      <c r="G388" t="s">
        <v>169</v>
      </c>
      <c r="H388">
        <v>515</v>
      </c>
      <c r="I388" s="34">
        <f>+POWER_Regional_Daily_20150101_20190305_c11b3312[[#This Row],[Column8]]/100</f>
        <v>5.15</v>
      </c>
      <c r="J388" s="34"/>
    </row>
    <row r="389" spans="1:10" x14ac:dyDescent="0.25">
      <c r="A389" s="34" t="s">
        <v>164</v>
      </c>
      <c r="B389" s="34" t="s">
        <v>165</v>
      </c>
      <c r="C389" t="s">
        <v>253</v>
      </c>
      <c r="D389" t="s">
        <v>167</v>
      </c>
      <c r="E389" t="s">
        <v>184</v>
      </c>
      <c r="F389" t="s">
        <v>211</v>
      </c>
      <c r="G389" t="s">
        <v>169</v>
      </c>
      <c r="H389">
        <v>393</v>
      </c>
      <c r="I389" s="34">
        <f>+POWER_Regional_Daily_20150101_20190305_c11b3312[[#This Row],[Column8]]/100</f>
        <v>3.93</v>
      </c>
      <c r="J389" s="34"/>
    </row>
    <row r="390" spans="1:10" x14ac:dyDescent="0.25">
      <c r="A390" s="34" t="s">
        <v>164</v>
      </c>
      <c r="B390" s="34" t="s">
        <v>165</v>
      </c>
      <c r="C390" t="s">
        <v>253</v>
      </c>
      <c r="D390" t="s">
        <v>167</v>
      </c>
      <c r="E390" t="s">
        <v>186</v>
      </c>
      <c r="F390" t="s">
        <v>226</v>
      </c>
      <c r="G390" t="s">
        <v>169</v>
      </c>
      <c r="H390">
        <v>202</v>
      </c>
      <c r="I390" s="34">
        <f>+POWER_Regional_Daily_20150101_20190305_c11b3312[[#This Row],[Column8]]/100</f>
        <v>2.02</v>
      </c>
      <c r="J390" s="34"/>
    </row>
    <row r="391" spans="1:10" x14ac:dyDescent="0.25">
      <c r="A391" s="34" t="s">
        <v>164</v>
      </c>
      <c r="B391" s="34" t="s">
        <v>165</v>
      </c>
      <c r="C391" t="s">
        <v>253</v>
      </c>
      <c r="D391" t="s">
        <v>167</v>
      </c>
      <c r="E391" t="s">
        <v>188</v>
      </c>
      <c r="F391" t="s">
        <v>189</v>
      </c>
      <c r="G391" t="s">
        <v>169</v>
      </c>
      <c r="H391">
        <v>551</v>
      </c>
      <c r="I391" s="34">
        <f>+POWER_Regional_Daily_20150101_20190305_c11b3312[[#This Row],[Column8]]/100</f>
        <v>5.51</v>
      </c>
      <c r="J391" s="34"/>
    </row>
    <row r="392" spans="1:10" x14ac:dyDescent="0.25">
      <c r="A392" s="34" t="s">
        <v>164</v>
      </c>
      <c r="B392" s="34" t="s">
        <v>165</v>
      </c>
      <c r="C392" t="s">
        <v>253</v>
      </c>
      <c r="D392" t="s">
        <v>167</v>
      </c>
      <c r="E392" t="s">
        <v>190</v>
      </c>
      <c r="F392" t="s">
        <v>181</v>
      </c>
      <c r="G392" t="s">
        <v>169</v>
      </c>
      <c r="H392">
        <v>525</v>
      </c>
      <c r="I392" s="34">
        <f>+POWER_Regional_Daily_20150101_20190305_c11b3312[[#This Row],[Column8]]/100</f>
        <v>5.25</v>
      </c>
      <c r="J392" s="34"/>
    </row>
    <row r="393" spans="1:10" x14ac:dyDescent="0.25">
      <c r="A393" s="34" t="s">
        <v>164</v>
      </c>
      <c r="B393" s="34" t="s">
        <v>165</v>
      </c>
      <c r="C393" t="s">
        <v>253</v>
      </c>
      <c r="D393" t="s">
        <v>167</v>
      </c>
      <c r="E393" t="s">
        <v>192</v>
      </c>
      <c r="F393" t="s">
        <v>187</v>
      </c>
      <c r="G393" t="s">
        <v>169</v>
      </c>
      <c r="H393">
        <v>-999</v>
      </c>
      <c r="I393" s="34">
        <f>+POWER_Regional_Daily_20150101_20190305_c11b3312[[#This Row],[Column8]]/100</f>
        <v>-9.99</v>
      </c>
      <c r="J393" s="34"/>
    </row>
    <row r="394" spans="1:10" x14ac:dyDescent="0.25">
      <c r="A394" s="34" t="s">
        <v>164</v>
      </c>
      <c r="B394" s="34" t="s">
        <v>165</v>
      </c>
      <c r="C394" t="s">
        <v>253</v>
      </c>
      <c r="D394" t="s">
        <v>167</v>
      </c>
      <c r="E394" t="s">
        <v>194</v>
      </c>
      <c r="F394" t="s">
        <v>248</v>
      </c>
      <c r="G394" t="s">
        <v>308</v>
      </c>
      <c r="H394">
        <v>631</v>
      </c>
      <c r="I394" s="34">
        <f>+POWER_Regional_Daily_20150101_20190305_c11b3312[[#This Row],[Column8]]/100</f>
        <v>6.31</v>
      </c>
      <c r="J394" s="34"/>
    </row>
    <row r="395" spans="1:10" x14ac:dyDescent="0.25">
      <c r="A395" s="34" t="s">
        <v>164</v>
      </c>
      <c r="B395" s="34" t="s">
        <v>165</v>
      </c>
      <c r="C395" t="s">
        <v>253</v>
      </c>
      <c r="D395" t="s">
        <v>167</v>
      </c>
      <c r="E395" t="s">
        <v>196</v>
      </c>
      <c r="F395" t="s">
        <v>176</v>
      </c>
      <c r="G395" t="s">
        <v>169</v>
      </c>
      <c r="H395">
        <v>621</v>
      </c>
      <c r="I395" s="34">
        <f>+POWER_Regional_Daily_20150101_20190305_c11b3312[[#This Row],[Column8]]/100</f>
        <v>6.21</v>
      </c>
      <c r="J395" s="34"/>
    </row>
    <row r="396" spans="1:10" x14ac:dyDescent="0.25">
      <c r="A396" s="34" t="s">
        <v>164</v>
      </c>
      <c r="B396" s="34" t="s">
        <v>165</v>
      </c>
      <c r="C396" t="s">
        <v>253</v>
      </c>
      <c r="D396" t="s">
        <v>167</v>
      </c>
      <c r="E396" t="s">
        <v>198</v>
      </c>
      <c r="F396" t="s">
        <v>176</v>
      </c>
      <c r="G396" t="s">
        <v>309</v>
      </c>
      <c r="H396">
        <v>625</v>
      </c>
      <c r="I396" s="34">
        <f>+POWER_Regional_Daily_20150101_20190305_c11b3312[[#This Row],[Column8]]/100</f>
        <v>6.25</v>
      </c>
      <c r="J396" s="34"/>
    </row>
    <row r="397" spans="1:10" x14ac:dyDescent="0.25">
      <c r="A397" s="34" t="s">
        <v>164</v>
      </c>
      <c r="B397" s="34" t="s">
        <v>165</v>
      </c>
      <c r="C397" t="s">
        <v>253</v>
      </c>
      <c r="D397" t="s">
        <v>167</v>
      </c>
      <c r="E397" t="s">
        <v>199</v>
      </c>
      <c r="F397" t="s">
        <v>176</v>
      </c>
      <c r="G397" t="s">
        <v>169</v>
      </c>
      <c r="H397">
        <v>620</v>
      </c>
      <c r="I397" s="34">
        <f>+POWER_Regional_Daily_20150101_20190305_c11b3312[[#This Row],[Column8]]/100</f>
        <v>6.2</v>
      </c>
      <c r="J397" s="34"/>
    </row>
    <row r="398" spans="1:10" x14ac:dyDescent="0.25">
      <c r="A398" s="34" t="s">
        <v>164</v>
      </c>
      <c r="B398" s="34" t="s">
        <v>165</v>
      </c>
      <c r="C398" t="s">
        <v>253</v>
      </c>
      <c r="D398" t="s">
        <v>167</v>
      </c>
      <c r="E398" t="s">
        <v>200</v>
      </c>
      <c r="F398" t="s">
        <v>250</v>
      </c>
      <c r="G398" t="s">
        <v>169</v>
      </c>
      <c r="H398">
        <v>606</v>
      </c>
      <c r="I398" s="34">
        <f>+POWER_Regional_Daily_20150101_20190305_c11b3312[[#This Row],[Column8]]/100</f>
        <v>6.06</v>
      </c>
      <c r="J398" s="34"/>
    </row>
    <row r="399" spans="1:10" x14ac:dyDescent="0.25">
      <c r="A399" s="34" t="s">
        <v>164</v>
      </c>
      <c r="B399" s="34" t="s">
        <v>165</v>
      </c>
      <c r="C399" t="s">
        <v>253</v>
      </c>
      <c r="D399" t="s">
        <v>167</v>
      </c>
      <c r="E399" t="s">
        <v>202</v>
      </c>
      <c r="F399" t="s">
        <v>232</v>
      </c>
      <c r="G399" t="s">
        <v>169</v>
      </c>
      <c r="H399">
        <v>573</v>
      </c>
      <c r="I399" s="34">
        <f>+POWER_Regional_Daily_20150101_20190305_c11b3312[[#This Row],[Column8]]/100</f>
        <v>5.73</v>
      </c>
      <c r="J399" s="34"/>
    </row>
    <row r="400" spans="1:10" x14ac:dyDescent="0.25">
      <c r="A400" s="34" t="s">
        <v>164</v>
      </c>
      <c r="B400" s="34" t="s">
        <v>165</v>
      </c>
      <c r="C400" t="s">
        <v>253</v>
      </c>
      <c r="D400" t="s">
        <v>167</v>
      </c>
      <c r="E400" t="s">
        <v>203</v>
      </c>
      <c r="F400" t="s">
        <v>213</v>
      </c>
      <c r="G400" t="s">
        <v>169</v>
      </c>
      <c r="H400">
        <v>519</v>
      </c>
      <c r="I400" s="34">
        <f>+POWER_Regional_Daily_20150101_20190305_c11b3312[[#This Row],[Column8]]/100</f>
        <v>5.19</v>
      </c>
      <c r="J400" s="34"/>
    </row>
    <row r="401" spans="1:10" x14ac:dyDescent="0.25">
      <c r="A401" s="34" t="s">
        <v>164</v>
      </c>
      <c r="B401" s="34" t="s">
        <v>165</v>
      </c>
      <c r="C401" t="s">
        <v>253</v>
      </c>
      <c r="D401" t="s">
        <v>167</v>
      </c>
      <c r="E401" t="s">
        <v>205</v>
      </c>
      <c r="F401" t="s">
        <v>213</v>
      </c>
      <c r="G401" t="s">
        <v>169</v>
      </c>
      <c r="H401">
        <v>524</v>
      </c>
      <c r="I401" s="34">
        <f>+POWER_Regional_Daily_20150101_20190305_c11b3312[[#This Row],[Column8]]/100</f>
        <v>5.24</v>
      </c>
      <c r="J401" s="34"/>
    </row>
    <row r="402" spans="1:10" x14ac:dyDescent="0.25">
      <c r="A402" s="34" t="s">
        <v>164</v>
      </c>
      <c r="B402" s="34" t="s">
        <v>165</v>
      </c>
      <c r="C402" t="s">
        <v>253</v>
      </c>
      <c r="D402" t="s">
        <v>167</v>
      </c>
      <c r="E402" t="s">
        <v>207</v>
      </c>
      <c r="F402" t="s">
        <v>193</v>
      </c>
      <c r="G402" t="s">
        <v>169</v>
      </c>
      <c r="H402">
        <v>383</v>
      </c>
      <c r="I402" s="34">
        <f>+POWER_Regional_Daily_20150101_20190305_c11b3312[[#This Row],[Column8]]/100</f>
        <v>3.83</v>
      </c>
      <c r="J402" s="34"/>
    </row>
    <row r="403" spans="1:10" x14ac:dyDescent="0.25">
      <c r="A403" s="34" t="s">
        <v>164</v>
      </c>
      <c r="B403" s="34" t="s">
        <v>165</v>
      </c>
      <c r="C403" t="s">
        <v>253</v>
      </c>
      <c r="D403" t="s">
        <v>167</v>
      </c>
      <c r="E403" t="s">
        <v>208</v>
      </c>
      <c r="F403" t="s">
        <v>224</v>
      </c>
      <c r="G403" t="s">
        <v>169</v>
      </c>
      <c r="H403">
        <v>435</v>
      </c>
      <c r="I403" s="34">
        <f>+POWER_Regional_Daily_20150101_20190305_c11b3312[[#This Row],[Column8]]/100</f>
        <v>4.3499999999999996</v>
      </c>
      <c r="J403" s="34"/>
    </row>
    <row r="404" spans="1:10" x14ac:dyDescent="0.25">
      <c r="A404" s="34" t="s">
        <v>164</v>
      </c>
      <c r="B404" s="34" t="s">
        <v>165</v>
      </c>
      <c r="C404" t="s">
        <v>253</v>
      </c>
      <c r="D404" t="s">
        <v>167</v>
      </c>
      <c r="E404" t="s">
        <v>210</v>
      </c>
      <c r="F404" t="s">
        <v>201</v>
      </c>
      <c r="G404" t="s">
        <v>169</v>
      </c>
      <c r="H404">
        <v>505</v>
      </c>
      <c r="I404" s="34">
        <f>+POWER_Regional_Daily_20150101_20190305_c11b3312[[#This Row],[Column8]]/100</f>
        <v>5.05</v>
      </c>
      <c r="J404" s="34"/>
    </row>
    <row r="405" spans="1:10" x14ac:dyDescent="0.25">
      <c r="A405" s="34" t="s">
        <v>164</v>
      </c>
      <c r="B405" s="34" t="s">
        <v>165</v>
      </c>
      <c r="C405" t="s">
        <v>253</v>
      </c>
      <c r="D405" t="s">
        <v>167</v>
      </c>
      <c r="E405" t="s">
        <v>212</v>
      </c>
      <c r="F405" t="s">
        <v>187</v>
      </c>
      <c r="G405" t="s">
        <v>169</v>
      </c>
      <c r="H405">
        <v>535</v>
      </c>
      <c r="I405" s="34">
        <f>+POWER_Regional_Daily_20150101_20190305_c11b3312[[#This Row],[Column8]]/100</f>
        <v>5.35</v>
      </c>
      <c r="J405" s="34"/>
    </row>
    <row r="406" spans="1:10" x14ac:dyDescent="0.25">
      <c r="A406" s="34" t="s">
        <v>164</v>
      </c>
      <c r="B406" s="34" t="s">
        <v>165</v>
      </c>
      <c r="C406" t="s">
        <v>253</v>
      </c>
      <c r="D406" t="s">
        <v>167</v>
      </c>
      <c r="E406" t="s">
        <v>214</v>
      </c>
      <c r="F406" t="s">
        <v>232</v>
      </c>
      <c r="G406" t="s">
        <v>169</v>
      </c>
      <c r="H406">
        <v>580</v>
      </c>
      <c r="I406" s="34">
        <f>+POWER_Regional_Daily_20150101_20190305_c11b3312[[#This Row],[Column8]]/100</f>
        <v>5.8</v>
      </c>
      <c r="J406" s="34"/>
    </row>
    <row r="407" spans="1:10" x14ac:dyDescent="0.25">
      <c r="A407" s="34" t="s">
        <v>164</v>
      </c>
      <c r="B407" s="34" t="s">
        <v>165</v>
      </c>
      <c r="C407" t="s">
        <v>253</v>
      </c>
      <c r="D407" t="s">
        <v>167</v>
      </c>
      <c r="E407" t="s">
        <v>215</v>
      </c>
      <c r="F407" t="s">
        <v>222</v>
      </c>
      <c r="G407" t="s">
        <v>169</v>
      </c>
      <c r="H407">
        <v>521</v>
      </c>
      <c r="I407" s="34">
        <f>+POWER_Regional_Daily_20150101_20190305_c11b3312[[#This Row],[Column8]]/100</f>
        <v>5.21</v>
      </c>
      <c r="J407" s="34"/>
    </row>
    <row r="408" spans="1:10" x14ac:dyDescent="0.25">
      <c r="A408" s="34" t="s">
        <v>164</v>
      </c>
      <c r="B408" s="34" t="s">
        <v>165</v>
      </c>
      <c r="C408" t="s">
        <v>253</v>
      </c>
      <c r="D408" t="s">
        <v>167</v>
      </c>
      <c r="E408" t="s">
        <v>217</v>
      </c>
      <c r="F408" t="s">
        <v>235</v>
      </c>
      <c r="G408" t="s">
        <v>169</v>
      </c>
      <c r="H408">
        <v>487</v>
      </c>
      <c r="I408" s="34">
        <f>+POWER_Regional_Daily_20150101_20190305_c11b3312[[#This Row],[Column8]]/100</f>
        <v>4.87</v>
      </c>
      <c r="J408" s="34"/>
    </row>
    <row r="409" spans="1:10" x14ac:dyDescent="0.25">
      <c r="A409" s="34" t="s">
        <v>164</v>
      </c>
      <c r="B409" s="34" t="s">
        <v>165</v>
      </c>
      <c r="C409" t="s">
        <v>253</v>
      </c>
      <c r="D409" t="s">
        <v>167</v>
      </c>
      <c r="E409" t="s">
        <v>219</v>
      </c>
      <c r="F409" t="s">
        <v>187</v>
      </c>
      <c r="G409" t="s">
        <v>169</v>
      </c>
      <c r="H409">
        <v>-999</v>
      </c>
      <c r="I409" s="34">
        <f>+POWER_Regional_Daily_20150101_20190305_c11b3312[[#This Row],[Column8]]/100</f>
        <v>-9.99</v>
      </c>
      <c r="J409" s="34"/>
    </row>
    <row r="410" spans="1:10" x14ac:dyDescent="0.25">
      <c r="A410" s="34" t="s">
        <v>164</v>
      </c>
      <c r="B410" s="34" t="s">
        <v>165</v>
      </c>
      <c r="C410" t="s">
        <v>253</v>
      </c>
      <c r="D410" t="s">
        <v>167</v>
      </c>
      <c r="E410" t="s">
        <v>220</v>
      </c>
      <c r="F410" t="s">
        <v>183</v>
      </c>
      <c r="G410" t="s">
        <v>169</v>
      </c>
      <c r="H410">
        <v>558</v>
      </c>
      <c r="I410" s="34">
        <f>+POWER_Regional_Daily_20150101_20190305_c11b3312[[#This Row],[Column8]]/100</f>
        <v>5.58</v>
      </c>
      <c r="J410" s="34"/>
    </row>
    <row r="411" spans="1:10" x14ac:dyDescent="0.25">
      <c r="A411" s="34" t="s">
        <v>164</v>
      </c>
      <c r="B411" s="34" t="s">
        <v>165</v>
      </c>
      <c r="C411" t="s">
        <v>253</v>
      </c>
      <c r="D411" t="s">
        <v>170</v>
      </c>
      <c r="E411" t="s">
        <v>167</v>
      </c>
      <c r="F411" t="s">
        <v>232</v>
      </c>
      <c r="G411" t="s">
        <v>169</v>
      </c>
      <c r="H411">
        <v>584</v>
      </c>
      <c r="I411" s="34">
        <f>+POWER_Regional_Daily_20150101_20190305_c11b3312[[#This Row],[Column8]]/100</f>
        <v>5.84</v>
      </c>
      <c r="J411" s="34"/>
    </row>
    <row r="412" spans="1:10" x14ac:dyDescent="0.25">
      <c r="A412" s="34" t="s">
        <v>164</v>
      </c>
      <c r="B412" s="34" t="s">
        <v>165</v>
      </c>
      <c r="C412" t="s">
        <v>253</v>
      </c>
      <c r="D412" t="s">
        <v>170</v>
      </c>
      <c r="E412" t="s">
        <v>170</v>
      </c>
      <c r="F412" t="s">
        <v>181</v>
      </c>
      <c r="G412" t="s">
        <v>169</v>
      </c>
      <c r="H412">
        <v>544</v>
      </c>
      <c r="I412" s="34">
        <f>+POWER_Regional_Daily_20150101_20190305_c11b3312[[#This Row],[Column8]]/100</f>
        <v>5.44</v>
      </c>
      <c r="J412" s="34"/>
    </row>
    <row r="413" spans="1:10" x14ac:dyDescent="0.25">
      <c r="A413" s="34" t="s">
        <v>164</v>
      </c>
      <c r="B413" s="34" t="s">
        <v>165</v>
      </c>
      <c r="C413" t="s">
        <v>253</v>
      </c>
      <c r="D413" t="s">
        <v>170</v>
      </c>
      <c r="E413" t="s">
        <v>172</v>
      </c>
      <c r="F413" t="s">
        <v>209</v>
      </c>
      <c r="G413" t="s">
        <v>169</v>
      </c>
      <c r="H413">
        <v>497</v>
      </c>
      <c r="I413" s="34">
        <f>+POWER_Regional_Daily_20150101_20190305_c11b3312[[#This Row],[Column8]]/100</f>
        <v>4.97</v>
      </c>
      <c r="J413" s="34"/>
    </row>
    <row r="414" spans="1:10" x14ac:dyDescent="0.25">
      <c r="A414" s="34" t="s">
        <v>164</v>
      </c>
      <c r="B414" s="34" t="s">
        <v>165</v>
      </c>
      <c r="C414" t="s">
        <v>253</v>
      </c>
      <c r="D414" t="s">
        <v>170</v>
      </c>
      <c r="E414" t="s">
        <v>174</v>
      </c>
      <c r="F414" t="s">
        <v>209</v>
      </c>
      <c r="G414" t="s">
        <v>169</v>
      </c>
      <c r="H414">
        <v>502</v>
      </c>
      <c r="I414" s="34">
        <f>+POWER_Regional_Daily_20150101_20190305_c11b3312[[#This Row],[Column8]]/100</f>
        <v>5.0199999999999996</v>
      </c>
      <c r="J414" s="34"/>
    </row>
    <row r="415" spans="1:10" x14ac:dyDescent="0.25">
      <c r="A415" s="34" t="s">
        <v>164</v>
      </c>
      <c r="B415" s="34" t="s">
        <v>165</v>
      </c>
      <c r="C415" t="s">
        <v>253</v>
      </c>
      <c r="D415" t="s">
        <v>170</v>
      </c>
      <c r="E415" t="s">
        <v>175</v>
      </c>
      <c r="F415" t="s">
        <v>239</v>
      </c>
      <c r="G415" t="s">
        <v>169</v>
      </c>
      <c r="H415">
        <v>356</v>
      </c>
      <c r="I415" s="34">
        <f>+POWER_Regional_Daily_20150101_20190305_c11b3312[[#This Row],[Column8]]/100</f>
        <v>3.56</v>
      </c>
      <c r="J415" s="34"/>
    </row>
    <row r="416" spans="1:10" x14ac:dyDescent="0.25">
      <c r="A416" s="34" t="s">
        <v>164</v>
      </c>
      <c r="B416" s="34" t="s">
        <v>165</v>
      </c>
      <c r="C416" t="s">
        <v>253</v>
      </c>
      <c r="D416" t="s">
        <v>170</v>
      </c>
      <c r="E416" t="s">
        <v>177</v>
      </c>
      <c r="F416" t="s">
        <v>185</v>
      </c>
      <c r="G416" t="s">
        <v>169</v>
      </c>
      <c r="H416">
        <v>603</v>
      </c>
      <c r="I416" s="34">
        <f>+POWER_Regional_Daily_20150101_20190305_c11b3312[[#This Row],[Column8]]/100</f>
        <v>6.03</v>
      </c>
      <c r="J416" s="34"/>
    </row>
    <row r="417" spans="1:10" x14ac:dyDescent="0.25">
      <c r="A417" s="34" t="s">
        <v>164</v>
      </c>
      <c r="B417" s="34" t="s">
        <v>165</v>
      </c>
      <c r="C417" t="s">
        <v>253</v>
      </c>
      <c r="D417" t="s">
        <v>170</v>
      </c>
      <c r="E417" t="s">
        <v>178</v>
      </c>
      <c r="F417" t="s">
        <v>213</v>
      </c>
      <c r="G417" t="s">
        <v>169</v>
      </c>
      <c r="H417">
        <v>539</v>
      </c>
      <c r="I417" s="34">
        <f>+POWER_Regional_Daily_20150101_20190305_c11b3312[[#This Row],[Column8]]/100</f>
        <v>5.39</v>
      </c>
      <c r="J417" s="34"/>
    </row>
    <row r="418" spans="1:10" x14ac:dyDescent="0.25">
      <c r="A418" s="34" t="s">
        <v>164</v>
      </c>
      <c r="B418" s="34" t="s">
        <v>165</v>
      </c>
      <c r="C418" t="s">
        <v>253</v>
      </c>
      <c r="D418" t="s">
        <v>170</v>
      </c>
      <c r="E418" t="s">
        <v>180</v>
      </c>
      <c r="F418" t="s">
        <v>193</v>
      </c>
      <c r="G418" t="s">
        <v>169</v>
      </c>
      <c r="H418">
        <v>392</v>
      </c>
      <c r="I418" s="34">
        <f>+POWER_Regional_Daily_20150101_20190305_c11b3312[[#This Row],[Column8]]/100</f>
        <v>3.92</v>
      </c>
      <c r="J418" s="34"/>
    </row>
    <row r="419" spans="1:10" x14ac:dyDescent="0.25">
      <c r="A419" s="34" t="s">
        <v>164</v>
      </c>
      <c r="B419" s="34" t="s">
        <v>165</v>
      </c>
      <c r="C419" t="s">
        <v>253</v>
      </c>
      <c r="D419" t="s">
        <v>170</v>
      </c>
      <c r="E419" t="s">
        <v>182</v>
      </c>
      <c r="F419" t="s">
        <v>201</v>
      </c>
      <c r="G419" t="s">
        <v>169</v>
      </c>
      <c r="H419">
        <v>525</v>
      </c>
      <c r="I419" s="34">
        <f>+POWER_Regional_Daily_20150101_20190305_c11b3312[[#This Row],[Column8]]/100</f>
        <v>5.25</v>
      </c>
      <c r="J419" s="34"/>
    </row>
    <row r="420" spans="1:10" x14ac:dyDescent="0.25">
      <c r="A420" s="34" t="s">
        <v>164</v>
      </c>
      <c r="B420" s="34" t="s">
        <v>165</v>
      </c>
      <c r="C420" t="s">
        <v>253</v>
      </c>
      <c r="D420" t="s">
        <v>170</v>
      </c>
      <c r="E420" t="s">
        <v>184</v>
      </c>
      <c r="F420" t="s">
        <v>195</v>
      </c>
      <c r="G420" t="s">
        <v>169</v>
      </c>
      <c r="H420">
        <v>467</v>
      </c>
      <c r="I420" s="34">
        <f>+POWER_Regional_Daily_20150101_20190305_c11b3312[[#This Row],[Column8]]/100</f>
        <v>4.67</v>
      </c>
      <c r="J420" s="34"/>
    </row>
    <row r="421" spans="1:10" x14ac:dyDescent="0.25">
      <c r="A421" s="34" t="s">
        <v>164</v>
      </c>
      <c r="B421" s="34" t="s">
        <v>165</v>
      </c>
      <c r="C421" t="s">
        <v>253</v>
      </c>
      <c r="D421" t="s">
        <v>170</v>
      </c>
      <c r="E421" t="s">
        <v>186</v>
      </c>
      <c r="F421" t="s">
        <v>195</v>
      </c>
      <c r="G421" t="s">
        <v>169</v>
      </c>
      <c r="H421">
        <v>470</v>
      </c>
      <c r="I421" s="34">
        <f>+POWER_Regional_Daily_20150101_20190305_c11b3312[[#This Row],[Column8]]/100</f>
        <v>4.7</v>
      </c>
      <c r="J421" s="34"/>
    </row>
    <row r="422" spans="1:10" x14ac:dyDescent="0.25">
      <c r="A422" s="34" t="s">
        <v>164</v>
      </c>
      <c r="B422" s="34" t="s">
        <v>165</v>
      </c>
      <c r="C422" t="s">
        <v>253</v>
      </c>
      <c r="D422" t="s">
        <v>170</v>
      </c>
      <c r="E422" t="s">
        <v>188</v>
      </c>
      <c r="F422" t="s">
        <v>206</v>
      </c>
      <c r="G422" t="s">
        <v>169</v>
      </c>
      <c r="H422">
        <v>384</v>
      </c>
      <c r="I422" s="34">
        <f>+POWER_Regional_Daily_20150101_20190305_c11b3312[[#This Row],[Column8]]/100</f>
        <v>3.84</v>
      </c>
      <c r="J422" s="34"/>
    </row>
    <row r="423" spans="1:10" x14ac:dyDescent="0.25">
      <c r="A423" s="34" t="s">
        <v>164</v>
      </c>
      <c r="B423" s="34" t="s">
        <v>165</v>
      </c>
      <c r="C423" t="s">
        <v>253</v>
      </c>
      <c r="D423" t="s">
        <v>170</v>
      </c>
      <c r="E423" t="s">
        <v>190</v>
      </c>
      <c r="F423" t="s">
        <v>231</v>
      </c>
      <c r="G423" t="s">
        <v>169</v>
      </c>
      <c r="H423">
        <v>475</v>
      </c>
      <c r="I423" s="34">
        <f>+POWER_Regional_Daily_20150101_20190305_c11b3312[[#This Row],[Column8]]/100</f>
        <v>4.75</v>
      </c>
      <c r="J423" s="34"/>
    </row>
    <row r="424" spans="1:10" x14ac:dyDescent="0.25">
      <c r="A424" s="34" t="s">
        <v>164</v>
      </c>
      <c r="B424" s="34" t="s">
        <v>165</v>
      </c>
      <c r="C424" t="s">
        <v>253</v>
      </c>
      <c r="D424" t="s">
        <v>170</v>
      </c>
      <c r="E424" t="s">
        <v>192</v>
      </c>
      <c r="F424" t="s">
        <v>236</v>
      </c>
      <c r="G424" t="s">
        <v>169</v>
      </c>
      <c r="H424">
        <v>518</v>
      </c>
      <c r="I424" s="34">
        <f>+POWER_Regional_Daily_20150101_20190305_c11b3312[[#This Row],[Column8]]/100</f>
        <v>5.18</v>
      </c>
      <c r="J424" s="34"/>
    </row>
    <row r="425" spans="1:10" x14ac:dyDescent="0.25">
      <c r="A425" s="34" t="s">
        <v>164</v>
      </c>
      <c r="B425" s="34" t="s">
        <v>165</v>
      </c>
      <c r="C425" t="s">
        <v>253</v>
      </c>
      <c r="D425" t="s">
        <v>170</v>
      </c>
      <c r="E425" t="s">
        <v>194</v>
      </c>
      <c r="F425" t="s">
        <v>187</v>
      </c>
      <c r="G425" t="s">
        <v>169</v>
      </c>
      <c r="H425">
        <v>-999</v>
      </c>
      <c r="I425" s="34">
        <f>+POWER_Regional_Daily_20150101_20190305_c11b3312[[#This Row],[Column8]]/100</f>
        <v>-9.99</v>
      </c>
      <c r="J425" s="34"/>
    </row>
    <row r="426" spans="1:10" x14ac:dyDescent="0.25">
      <c r="A426" s="34" t="s">
        <v>164</v>
      </c>
      <c r="B426" s="34" t="s">
        <v>165</v>
      </c>
      <c r="C426" t="s">
        <v>253</v>
      </c>
      <c r="D426" t="s">
        <v>170</v>
      </c>
      <c r="E426" t="s">
        <v>196</v>
      </c>
      <c r="F426" t="s">
        <v>185</v>
      </c>
      <c r="G426" t="s">
        <v>310</v>
      </c>
      <c r="H426">
        <v>610</v>
      </c>
      <c r="I426" s="34">
        <f>+POWER_Regional_Daily_20150101_20190305_c11b3312[[#This Row],[Column8]]/100</f>
        <v>6.1</v>
      </c>
      <c r="J426" s="34"/>
    </row>
    <row r="427" spans="1:10" x14ac:dyDescent="0.25">
      <c r="A427" s="34" t="s">
        <v>164</v>
      </c>
      <c r="B427" s="34" t="s">
        <v>165</v>
      </c>
      <c r="C427" t="s">
        <v>253</v>
      </c>
      <c r="D427" t="s">
        <v>170</v>
      </c>
      <c r="E427" t="s">
        <v>198</v>
      </c>
      <c r="F427" t="s">
        <v>223</v>
      </c>
      <c r="G427" t="s">
        <v>169</v>
      </c>
      <c r="H427">
        <v>490</v>
      </c>
      <c r="I427" s="34">
        <f>+POWER_Regional_Daily_20150101_20190305_c11b3312[[#This Row],[Column8]]/100</f>
        <v>4.9000000000000004</v>
      </c>
      <c r="J427" s="34"/>
    </row>
    <row r="428" spans="1:10" x14ac:dyDescent="0.25">
      <c r="A428" s="34" t="s">
        <v>164</v>
      </c>
      <c r="B428" s="34" t="s">
        <v>165</v>
      </c>
      <c r="C428" t="s">
        <v>253</v>
      </c>
      <c r="D428" t="s">
        <v>170</v>
      </c>
      <c r="E428" t="s">
        <v>199</v>
      </c>
      <c r="F428" t="s">
        <v>183</v>
      </c>
      <c r="G428" t="s">
        <v>169</v>
      </c>
      <c r="H428">
        <v>574</v>
      </c>
      <c r="I428" s="34">
        <f>+POWER_Regional_Daily_20150101_20190305_c11b3312[[#This Row],[Column8]]/100</f>
        <v>5.74</v>
      </c>
      <c r="J428" s="34"/>
    </row>
    <row r="429" spans="1:10" x14ac:dyDescent="0.25">
      <c r="A429" s="34" t="s">
        <v>164</v>
      </c>
      <c r="B429" s="34" t="s">
        <v>165</v>
      </c>
      <c r="C429" t="s">
        <v>253</v>
      </c>
      <c r="D429" t="s">
        <v>170</v>
      </c>
      <c r="E429" t="s">
        <v>200</v>
      </c>
      <c r="F429" t="s">
        <v>222</v>
      </c>
      <c r="G429" t="s">
        <v>169</v>
      </c>
      <c r="H429">
        <v>545</v>
      </c>
      <c r="I429" s="34">
        <f>+POWER_Regional_Daily_20150101_20190305_c11b3312[[#This Row],[Column8]]/100</f>
        <v>5.45</v>
      </c>
      <c r="J429" s="34"/>
    </row>
    <row r="430" spans="1:10" x14ac:dyDescent="0.25">
      <c r="A430" s="34" t="s">
        <v>164</v>
      </c>
      <c r="B430" s="34" t="s">
        <v>165</v>
      </c>
      <c r="C430" t="s">
        <v>253</v>
      </c>
      <c r="D430" t="s">
        <v>170</v>
      </c>
      <c r="E430" t="s">
        <v>202</v>
      </c>
      <c r="F430" t="s">
        <v>195</v>
      </c>
      <c r="G430" t="s">
        <v>169</v>
      </c>
      <c r="H430">
        <v>475</v>
      </c>
      <c r="I430" s="34">
        <f>+POWER_Regional_Daily_20150101_20190305_c11b3312[[#This Row],[Column8]]/100</f>
        <v>4.75</v>
      </c>
      <c r="J430" s="34"/>
    </row>
    <row r="431" spans="1:10" x14ac:dyDescent="0.25">
      <c r="A431" s="34" t="s">
        <v>164</v>
      </c>
      <c r="B431" s="34" t="s">
        <v>165</v>
      </c>
      <c r="C431" t="s">
        <v>253</v>
      </c>
      <c r="D431" t="s">
        <v>170</v>
      </c>
      <c r="E431" t="s">
        <v>203</v>
      </c>
      <c r="F431" t="s">
        <v>262</v>
      </c>
      <c r="G431" t="s">
        <v>169</v>
      </c>
      <c r="H431">
        <v>134</v>
      </c>
      <c r="I431" s="34">
        <f>+POWER_Regional_Daily_20150101_20190305_c11b3312[[#This Row],[Column8]]/100</f>
        <v>1.34</v>
      </c>
      <c r="J431" s="34"/>
    </row>
    <row r="432" spans="1:10" x14ac:dyDescent="0.25">
      <c r="A432" s="34" t="s">
        <v>164</v>
      </c>
      <c r="B432" s="34" t="s">
        <v>165</v>
      </c>
      <c r="C432" t="s">
        <v>253</v>
      </c>
      <c r="D432" t="s">
        <v>170</v>
      </c>
      <c r="E432" t="s">
        <v>205</v>
      </c>
      <c r="F432" t="s">
        <v>243</v>
      </c>
      <c r="G432" t="s">
        <v>169</v>
      </c>
      <c r="H432">
        <v>313</v>
      </c>
      <c r="I432" s="34">
        <f>+POWER_Regional_Daily_20150101_20190305_c11b3312[[#This Row],[Column8]]/100</f>
        <v>3.13</v>
      </c>
      <c r="J432" s="34"/>
    </row>
    <row r="433" spans="1:10" x14ac:dyDescent="0.25">
      <c r="A433" s="34" t="s">
        <v>164</v>
      </c>
      <c r="B433" s="34" t="s">
        <v>165</v>
      </c>
      <c r="C433" t="s">
        <v>253</v>
      </c>
      <c r="D433" t="s">
        <v>170</v>
      </c>
      <c r="E433" t="s">
        <v>207</v>
      </c>
      <c r="F433" t="s">
        <v>195</v>
      </c>
      <c r="G433" t="s">
        <v>169</v>
      </c>
      <c r="H433">
        <v>475</v>
      </c>
      <c r="I433" s="34">
        <f>+POWER_Regional_Daily_20150101_20190305_c11b3312[[#This Row],[Column8]]/100</f>
        <v>4.75</v>
      </c>
      <c r="J433" s="34"/>
    </row>
    <row r="434" spans="1:10" x14ac:dyDescent="0.25">
      <c r="A434" s="34" t="s">
        <v>164</v>
      </c>
      <c r="B434" s="34" t="s">
        <v>165</v>
      </c>
      <c r="C434" t="s">
        <v>253</v>
      </c>
      <c r="D434" t="s">
        <v>170</v>
      </c>
      <c r="E434" t="s">
        <v>208</v>
      </c>
      <c r="F434" t="s">
        <v>252</v>
      </c>
      <c r="G434" t="s">
        <v>169</v>
      </c>
      <c r="H434">
        <v>243</v>
      </c>
      <c r="I434" s="34">
        <f>+POWER_Regional_Daily_20150101_20190305_c11b3312[[#This Row],[Column8]]/100</f>
        <v>2.4300000000000002</v>
      </c>
      <c r="J434" s="34"/>
    </row>
    <row r="435" spans="1:10" x14ac:dyDescent="0.25">
      <c r="A435" s="34" t="s">
        <v>164</v>
      </c>
      <c r="B435" s="34" t="s">
        <v>165</v>
      </c>
      <c r="C435" t="s">
        <v>253</v>
      </c>
      <c r="D435" t="s">
        <v>170</v>
      </c>
      <c r="E435" t="s">
        <v>210</v>
      </c>
      <c r="F435" t="s">
        <v>241</v>
      </c>
      <c r="G435" t="s">
        <v>169</v>
      </c>
      <c r="H435">
        <v>291</v>
      </c>
      <c r="I435" s="34">
        <f>+POWER_Regional_Daily_20150101_20190305_c11b3312[[#This Row],[Column8]]/100</f>
        <v>2.91</v>
      </c>
      <c r="J435" s="34"/>
    </row>
    <row r="436" spans="1:10" x14ac:dyDescent="0.25">
      <c r="A436" s="34" t="s">
        <v>164</v>
      </c>
      <c r="B436" s="34" t="s">
        <v>165</v>
      </c>
      <c r="C436" t="s">
        <v>253</v>
      </c>
      <c r="D436" t="s">
        <v>170</v>
      </c>
      <c r="E436" t="s">
        <v>212</v>
      </c>
      <c r="F436" t="s">
        <v>233</v>
      </c>
      <c r="G436" t="s">
        <v>169</v>
      </c>
      <c r="H436">
        <v>470</v>
      </c>
      <c r="I436" s="34">
        <f>+POWER_Regional_Daily_20150101_20190305_c11b3312[[#This Row],[Column8]]/100</f>
        <v>4.7</v>
      </c>
      <c r="J436" s="34"/>
    </row>
    <row r="437" spans="1:10" x14ac:dyDescent="0.25">
      <c r="A437" s="34" t="s">
        <v>164</v>
      </c>
      <c r="B437" s="34" t="s">
        <v>165</v>
      </c>
      <c r="C437" t="s">
        <v>253</v>
      </c>
      <c r="D437" t="s">
        <v>170</v>
      </c>
      <c r="E437" t="s">
        <v>214</v>
      </c>
      <c r="F437" t="s">
        <v>201</v>
      </c>
      <c r="G437" t="s">
        <v>169</v>
      </c>
      <c r="H437">
        <v>547</v>
      </c>
      <c r="I437" s="34">
        <f>+POWER_Regional_Daily_20150101_20190305_c11b3312[[#This Row],[Column8]]/100</f>
        <v>5.47</v>
      </c>
      <c r="J437" s="34"/>
    </row>
    <row r="438" spans="1:10" x14ac:dyDescent="0.25">
      <c r="A438" s="34" t="s">
        <v>164</v>
      </c>
      <c r="B438" s="34" t="s">
        <v>165</v>
      </c>
      <c r="C438" t="s">
        <v>253</v>
      </c>
      <c r="D438" t="s">
        <v>170</v>
      </c>
      <c r="E438" t="s">
        <v>215</v>
      </c>
      <c r="F438" t="s">
        <v>235</v>
      </c>
      <c r="G438" t="s">
        <v>169</v>
      </c>
      <c r="H438">
        <v>512</v>
      </c>
      <c r="I438" s="34">
        <f>+POWER_Regional_Daily_20150101_20190305_c11b3312[[#This Row],[Column8]]/100</f>
        <v>5.12</v>
      </c>
      <c r="J438" s="34"/>
    </row>
    <row r="439" spans="1:10" x14ac:dyDescent="0.25">
      <c r="A439" s="34" t="s">
        <v>164</v>
      </c>
      <c r="B439" s="34" t="s">
        <v>165</v>
      </c>
      <c r="C439" t="s">
        <v>253</v>
      </c>
      <c r="D439" t="s">
        <v>170</v>
      </c>
      <c r="E439" t="s">
        <v>217</v>
      </c>
      <c r="F439" t="s">
        <v>236</v>
      </c>
      <c r="G439" t="s">
        <v>169</v>
      </c>
      <c r="H439">
        <v>536</v>
      </c>
      <c r="I439" s="34">
        <f>+POWER_Regional_Daily_20150101_20190305_c11b3312[[#This Row],[Column8]]/100</f>
        <v>5.36</v>
      </c>
      <c r="J439" s="34"/>
    </row>
    <row r="440" spans="1:10" x14ac:dyDescent="0.25">
      <c r="A440" s="34" t="s">
        <v>164</v>
      </c>
      <c r="B440" s="34" t="s">
        <v>165</v>
      </c>
      <c r="C440" t="s">
        <v>253</v>
      </c>
      <c r="D440" t="s">
        <v>172</v>
      </c>
      <c r="E440" t="s">
        <v>167</v>
      </c>
      <c r="F440" t="s">
        <v>223</v>
      </c>
      <c r="G440" t="s">
        <v>169</v>
      </c>
      <c r="H440">
        <v>506</v>
      </c>
      <c r="I440" s="34">
        <f>+POWER_Regional_Daily_20150101_20190305_c11b3312[[#This Row],[Column8]]/100</f>
        <v>5.0599999999999996</v>
      </c>
      <c r="J440" s="34"/>
    </row>
    <row r="441" spans="1:10" x14ac:dyDescent="0.25">
      <c r="A441" s="34" t="s">
        <v>164</v>
      </c>
      <c r="B441" s="34" t="s">
        <v>165</v>
      </c>
      <c r="C441" t="s">
        <v>253</v>
      </c>
      <c r="D441" t="s">
        <v>172</v>
      </c>
      <c r="E441" t="s">
        <v>170</v>
      </c>
      <c r="F441" t="s">
        <v>187</v>
      </c>
      <c r="G441" t="s">
        <v>169</v>
      </c>
      <c r="H441">
        <v>-999</v>
      </c>
      <c r="I441" s="34">
        <f>+POWER_Regional_Daily_20150101_20190305_c11b3312[[#This Row],[Column8]]/100</f>
        <v>-9.99</v>
      </c>
      <c r="J441" s="34"/>
    </row>
    <row r="442" spans="1:10" x14ac:dyDescent="0.25">
      <c r="A442" s="34" t="s">
        <v>164</v>
      </c>
      <c r="B442" s="34" t="s">
        <v>165</v>
      </c>
      <c r="C442" t="s">
        <v>253</v>
      </c>
      <c r="D442" t="s">
        <v>172</v>
      </c>
      <c r="E442" t="s">
        <v>172</v>
      </c>
      <c r="F442" t="s">
        <v>233</v>
      </c>
      <c r="G442" t="s">
        <v>169</v>
      </c>
      <c r="H442">
        <v>474</v>
      </c>
      <c r="I442" s="34">
        <f>+POWER_Regional_Daily_20150101_20190305_c11b3312[[#This Row],[Column8]]/100</f>
        <v>4.74</v>
      </c>
      <c r="J442" s="34"/>
    </row>
    <row r="443" spans="1:10" x14ac:dyDescent="0.25">
      <c r="A443" s="34" t="s">
        <v>164</v>
      </c>
      <c r="B443" s="34" t="s">
        <v>165</v>
      </c>
      <c r="C443" t="s">
        <v>253</v>
      </c>
      <c r="D443" t="s">
        <v>172</v>
      </c>
      <c r="E443" t="s">
        <v>174</v>
      </c>
      <c r="F443" t="s">
        <v>233</v>
      </c>
      <c r="G443" t="s">
        <v>169</v>
      </c>
      <c r="H443">
        <v>470</v>
      </c>
      <c r="I443" s="34">
        <f>+POWER_Regional_Daily_20150101_20190305_c11b3312[[#This Row],[Column8]]/100</f>
        <v>4.7</v>
      </c>
      <c r="J443" s="34"/>
    </row>
    <row r="444" spans="1:10" x14ac:dyDescent="0.25">
      <c r="A444" s="34" t="s">
        <v>164</v>
      </c>
      <c r="B444" s="34" t="s">
        <v>165</v>
      </c>
      <c r="C444" t="s">
        <v>253</v>
      </c>
      <c r="D444" t="s">
        <v>172</v>
      </c>
      <c r="E444" t="s">
        <v>175</v>
      </c>
      <c r="F444" t="s">
        <v>236</v>
      </c>
      <c r="G444" t="s">
        <v>169</v>
      </c>
      <c r="H444">
        <v>541</v>
      </c>
      <c r="I444" s="34">
        <f>+POWER_Regional_Daily_20150101_20190305_c11b3312[[#This Row],[Column8]]/100</f>
        <v>5.41</v>
      </c>
      <c r="J444" s="34"/>
    </row>
    <row r="445" spans="1:10" x14ac:dyDescent="0.25">
      <c r="A445" s="34" t="s">
        <v>164</v>
      </c>
      <c r="B445" s="34" t="s">
        <v>165</v>
      </c>
      <c r="C445" t="s">
        <v>253</v>
      </c>
      <c r="D445" t="s">
        <v>172</v>
      </c>
      <c r="E445" t="s">
        <v>177</v>
      </c>
      <c r="F445" t="s">
        <v>221</v>
      </c>
      <c r="G445" t="s">
        <v>169</v>
      </c>
      <c r="H445">
        <v>419</v>
      </c>
      <c r="I445" s="34">
        <f>+POWER_Regional_Daily_20150101_20190305_c11b3312[[#This Row],[Column8]]/100</f>
        <v>4.1900000000000004</v>
      </c>
      <c r="J445" s="34"/>
    </row>
    <row r="446" spans="1:10" x14ac:dyDescent="0.25">
      <c r="A446" s="34" t="s">
        <v>164</v>
      </c>
      <c r="B446" s="34" t="s">
        <v>165</v>
      </c>
      <c r="C446" t="s">
        <v>253</v>
      </c>
      <c r="D446" t="s">
        <v>172</v>
      </c>
      <c r="E446" t="s">
        <v>178</v>
      </c>
      <c r="F446" t="s">
        <v>195</v>
      </c>
      <c r="G446" t="s">
        <v>169</v>
      </c>
      <c r="H446">
        <v>486</v>
      </c>
      <c r="I446" s="34">
        <f>+POWER_Regional_Daily_20150101_20190305_c11b3312[[#This Row],[Column8]]/100</f>
        <v>4.8600000000000003</v>
      </c>
      <c r="J446" s="34"/>
    </row>
    <row r="447" spans="1:10" x14ac:dyDescent="0.25">
      <c r="A447" s="34" t="s">
        <v>164</v>
      </c>
      <c r="B447" s="34" t="s">
        <v>165</v>
      </c>
      <c r="C447" t="s">
        <v>253</v>
      </c>
      <c r="D447" t="s">
        <v>172</v>
      </c>
      <c r="E447" t="s">
        <v>180</v>
      </c>
      <c r="F447" t="s">
        <v>195</v>
      </c>
      <c r="G447" t="s">
        <v>169</v>
      </c>
      <c r="H447">
        <v>484</v>
      </c>
      <c r="I447" s="34">
        <f>+POWER_Regional_Daily_20150101_20190305_c11b3312[[#This Row],[Column8]]/100</f>
        <v>4.84</v>
      </c>
      <c r="J447" s="34"/>
    </row>
    <row r="448" spans="1:10" x14ac:dyDescent="0.25">
      <c r="A448" s="34" t="s">
        <v>164</v>
      </c>
      <c r="B448" s="34" t="s">
        <v>165</v>
      </c>
      <c r="C448" t="s">
        <v>253</v>
      </c>
      <c r="D448" t="s">
        <v>172</v>
      </c>
      <c r="E448" t="s">
        <v>182</v>
      </c>
      <c r="F448" t="s">
        <v>185</v>
      </c>
      <c r="G448" t="s">
        <v>169</v>
      </c>
      <c r="H448">
        <v>633</v>
      </c>
      <c r="I448" s="34">
        <f>+POWER_Regional_Daily_20150101_20190305_c11b3312[[#This Row],[Column8]]/100</f>
        <v>6.33</v>
      </c>
      <c r="J448" s="34"/>
    </row>
    <row r="449" spans="1:10" x14ac:dyDescent="0.25">
      <c r="A449" s="34" t="s">
        <v>164</v>
      </c>
      <c r="B449" s="34" t="s">
        <v>165</v>
      </c>
      <c r="C449" t="s">
        <v>253</v>
      </c>
      <c r="D449" t="s">
        <v>172</v>
      </c>
      <c r="E449" t="s">
        <v>184</v>
      </c>
      <c r="F449" t="s">
        <v>211</v>
      </c>
      <c r="G449" t="s">
        <v>169</v>
      </c>
      <c r="H449">
        <v>436</v>
      </c>
      <c r="I449" s="34">
        <f>+POWER_Regional_Daily_20150101_20190305_c11b3312[[#This Row],[Column8]]/100</f>
        <v>4.3600000000000003</v>
      </c>
      <c r="J449" s="34"/>
    </row>
    <row r="450" spans="1:10" x14ac:dyDescent="0.25">
      <c r="A450" s="34" t="s">
        <v>164</v>
      </c>
      <c r="B450" s="34" t="s">
        <v>165</v>
      </c>
      <c r="C450" t="s">
        <v>253</v>
      </c>
      <c r="D450" t="s">
        <v>172</v>
      </c>
      <c r="E450" t="s">
        <v>186</v>
      </c>
      <c r="F450" t="s">
        <v>221</v>
      </c>
      <c r="G450" t="s">
        <v>169</v>
      </c>
      <c r="H450">
        <v>422</v>
      </c>
      <c r="I450" s="34">
        <f>+POWER_Regional_Daily_20150101_20190305_c11b3312[[#This Row],[Column8]]/100</f>
        <v>4.22</v>
      </c>
      <c r="J450" s="34"/>
    </row>
    <row r="451" spans="1:10" x14ac:dyDescent="0.25">
      <c r="A451" s="34" t="s">
        <v>164</v>
      </c>
      <c r="B451" s="34" t="s">
        <v>165</v>
      </c>
      <c r="C451" t="s">
        <v>253</v>
      </c>
      <c r="D451" t="s">
        <v>172</v>
      </c>
      <c r="E451" t="s">
        <v>188</v>
      </c>
      <c r="F451" t="s">
        <v>201</v>
      </c>
      <c r="G451" t="s">
        <v>169</v>
      </c>
      <c r="H451">
        <v>555</v>
      </c>
      <c r="I451" s="34">
        <f>+POWER_Regional_Daily_20150101_20190305_c11b3312[[#This Row],[Column8]]/100</f>
        <v>5.55</v>
      </c>
      <c r="J451" s="34"/>
    </row>
    <row r="452" spans="1:10" x14ac:dyDescent="0.25">
      <c r="A452" s="34" t="s">
        <v>164</v>
      </c>
      <c r="B452" s="34" t="s">
        <v>165</v>
      </c>
      <c r="C452" t="s">
        <v>253</v>
      </c>
      <c r="D452" t="s">
        <v>172</v>
      </c>
      <c r="E452" t="s">
        <v>190</v>
      </c>
      <c r="F452" t="s">
        <v>204</v>
      </c>
      <c r="G452" t="s">
        <v>169</v>
      </c>
      <c r="H452">
        <v>444</v>
      </c>
      <c r="I452" s="34">
        <f>+POWER_Regional_Daily_20150101_20190305_c11b3312[[#This Row],[Column8]]/100</f>
        <v>4.4400000000000004</v>
      </c>
      <c r="J452" s="34"/>
    </row>
    <row r="453" spans="1:10" x14ac:dyDescent="0.25">
      <c r="A453" s="34" t="s">
        <v>164</v>
      </c>
      <c r="B453" s="34" t="s">
        <v>165</v>
      </c>
      <c r="C453" t="s">
        <v>253</v>
      </c>
      <c r="D453" t="s">
        <v>172</v>
      </c>
      <c r="E453" t="s">
        <v>192</v>
      </c>
      <c r="F453" t="s">
        <v>228</v>
      </c>
      <c r="G453" t="s">
        <v>169</v>
      </c>
      <c r="H453">
        <v>271</v>
      </c>
      <c r="I453" s="34">
        <f>+POWER_Regional_Daily_20150101_20190305_c11b3312[[#This Row],[Column8]]/100</f>
        <v>2.71</v>
      </c>
      <c r="J453" s="34"/>
    </row>
    <row r="454" spans="1:10" x14ac:dyDescent="0.25">
      <c r="A454" s="34" t="s">
        <v>164</v>
      </c>
      <c r="B454" s="34" t="s">
        <v>165</v>
      </c>
      <c r="C454" t="s">
        <v>253</v>
      </c>
      <c r="D454" t="s">
        <v>172</v>
      </c>
      <c r="E454" t="s">
        <v>194</v>
      </c>
      <c r="F454" t="s">
        <v>195</v>
      </c>
      <c r="G454" t="s">
        <v>169</v>
      </c>
      <c r="H454">
        <v>491</v>
      </c>
      <c r="I454" s="34">
        <f>+POWER_Regional_Daily_20150101_20190305_c11b3312[[#This Row],[Column8]]/100</f>
        <v>4.91</v>
      </c>
      <c r="J454" s="34"/>
    </row>
    <row r="455" spans="1:10" x14ac:dyDescent="0.25">
      <c r="A455" s="34" t="s">
        <v>164</v>
      </c>
      <c r="B455" s="34" t="s">
        <v>165</v>
      </c>
      <c r="C455" t="s">
        <v>253</v>
      </c>
      <c r="D455" t="s">
        <v>172</v>
      </c>
      <c r="E455" t="s">
        <v>196</v>
      </c>
      <c r="F455" t="s">
        <v>235</v>
      </c>
      <c r="G455" t="s">
        <v>169</v>
      </c>
      <c r="H455">
        <v>526</v>
      </c>
      <c r="I455" s="34">
        <f>+POWER_Regional_Daily_20150101_20190305_c11b3312[[#This Row],[Column8]]/100</f>
        <v>5.26</v>
      </c>
      <c r="J455" s="34"/>
    </row>
    <row r="456" spans="1:10" x14ac:dyDescent="0.25">
      <c r="A456" s="34" t="s">
        <v>164</v>
      </c>
      <c r="B456" s="34" t="s">
        <v>165</v>
      </c>
      <c r="C456" t="s">
        <v>253</v>
      </c>
      <c r="D456" t="s">
        <v>172</v>
      </c>
      <c r="E456" t="s">
        <v>198</v>
      </c>
      <c r="F456" t="s">
        <v>243</v>
      </c>
      <c r="G456" t="s">
        <v>169</v>
      </c>
      <c r="H456">
        <v>323</v>
      </c>
      <c r="I456" s="34">
        <f>+POWER_Regional_Daily_20150101_20190305_c11b3312[[#This Row],[Column8]]/100</f>
        <v>3.23</v>
      </c>
      <c r="J456" s="34"/>
    </row>
    <row r="457" spans="1:10" x14ac:dyDescent="0.25">
      <c r="A457" s="34" t="s">
        <v>164</v>
      </c>
      <c r="B457" s="34" t="s">
        <v>165</v>
      </c>
      <c r="C457" t="s">
        <v>253</v>
      </c>
      <c r="D457" t="s">
        <v>172</v>
      </c>
      <c r="E457" t="s">
        <v>199</v>
      </c>
      <c r="F457" t="s">
        <v>187</v>
      </c>
      <c r="G457" t="s">
        <v>169</v>
      </c>
      <c r="H457">
        <v>-999</v>
      </c>
      <c r="I457" s="34">
        <f>+POWER_Regional_Daily_20150101_20190305_c11b3312[[#This Row],[Column8]]/100</f>
        <v>-9.99</v>
      </c>
      <c r="J457" s="34"/>
    </row>
    <row r="458" spans="1:10" x14ac:dyDescent="0.25">
      <c r="A458" s="34" t="s">
        <v>164</v>
      </c>
      <c r="B458" s="34" t="s">
        <v>165</v>
      </c>
      <c r="C458" t="s">
        <v>253</v>
      </c>
      <c r="D458" t="s">
        <v>172</v>
      </c>
      <c r="E458" t="s">
        <v>200</v>
      </c>
      <c r="F458" t="s">
        <v>236</v>
      </c>
      <c r="G458" t="s">
        <v>169</v>
      </c>
      <c r="H458">
        <v>544</v>
      </c>
      <c r="I458" s="34">
        <f>+POWER_Regional_Daily_20150101_20190305_c11b3312[[#This Row],[Column8]]/100</f>
        <v>5.44</v>
      </c>
      <c r="J458" s="34"/>
    </row>
    <row r="459" spans="1:10" x14ac:dyDescent="0.25">
      <c r="A459" s="34" t="s">
        <v>164</v>
      </c>
      <c r="B459" s="34" t="s">
        <v>165</v>
      </c>
      <c r="C459" t="s">
        <v>253</v>
      </c>
      <c r="D459" t="s">
        <v>172</v>
      </c>
      <c r="E459" t="s">
        <v>202</v>
      </c>
      <c r="F459" t="s">
        <v>223</v>
      </c>
      <c r="G459" t="s">
        <v>169</v>
      </c>
      <c r="H459">
        <v>517</v>
      </c>
      <c r="I459" s="34">
        <f>+POWER_Regional_Daily_20150101_20190305_c11b3312[[#This Row],[Column8]]/100</f>
        <v>5.17</v>
      </c>
      <c r="J459" s="34"/>
    </row>
    <row r="460" spans="1:10" x14ac:dyDescent="0.25">
      <c r="A460" s="34" t="s">
        <v>164</v>
      </c>
      <c r="B460" s="34" t="s">
        <v>165</v>
      </c>
      <c r="C460" t="s">
        <v>253</v>
      </c>
      <c r="D460" t="s">
        <v>172</v>
      </c>
      <c r="E460" t="s">
        <v>203</v>
      </c>
      <c r="F460" t="s">
        <v>191</v>
      </c>
      <c r="G460" t="s">
        <v>169</v>
      </c>
      <c r="H460">
        <v>359</v>
      </c>
      <c r="I460" s="34">
        <f>+POWER_Regional_Daily_20150101_20190305_c11b3312[[#This Row],[Column8]]/100</f>
        <v>3.59</v>
      </c>
      <c r="J460" s="34"/>
    </row>
    <row r="461" spans="1:10" x14ac:dyDescent="0.25">
      <c r="A461" s="34" t="s">
        <v>164</v>
      </c>
      <c r="B461" s="34" t="s">
        <v>165</v>
      </c>
      <c r="C461" t="s">
        <v>253</v>
      </c>
      <c r="D461" t="s">
        <v>172</v>
      </c>
      <c r="E461" t="s">
        <v>205</v>
      </c>
      <c r="F461" t="s">
        <v>201</v>
      </c>
      <c r="G461" t="s">
        <v>169</v>
      </c>
      <c r="H461">
        <v>560</v>
      </c>
      <c r="I461" s="34">
        <f>+POWER_Regional_Daily_20150101_20190305_c11b3312[[#This Row],[Column8]]/100</f>
        <v>5.6</v>
      </c>
      <c r="J461" s="34"/>
    </row>
    <row r="462" spans="1:10" x14ac:dyDescent="0.25">
      <c r="A462" s="34" t="s">
        <v>164</v>
      </c>
      <c r="B462" s="34" t="s">
        <v>165</v>
      </c>
      <c r="C462" t="s">
        <v>253</v>
      </c>
      <c r="D462" t="s">
        <v>172</v>
      </c>
      <c r="E462" t="s">
        <v>207</v>
      </c>
      <c r="F462" t="s">
        <v>213</v>
      </c>
      <c r="G462" t="s">
        <v>169</v>
      </c>
      <c r="H462">
        <v>572</v>
      </c>
      <c r="I462" s="34">
        <f>+POWER_Regional_Daily_20150101_20190305_c11b3312[[#This Row],[Column8]]/100</f>
        <v>5.72</v>
      </c>
      <c r="J462" s="34"/>
    </row>
    <row r="463" spans="1:10" x14ac:dyDescent="0.25">
      <c r="A463" s="34" t="s">
        <v>164</v>
      </c>
      <c r="B463" s="34" t="s">
        <v>165</v>
      </c>
      <c r="C463" t="s">
        <v>253</v>
      </c>
      <c r="D463" t="s">
        <v>172</v>
      </c>
      <c r="E463" t="s">
        <v>208</v>
      </c>
      <c r="F463" t="s">
        <v>183</v>
      </c>
      <c r="G463" t="s">
        <v>169</v>
      </c>
      <c r="H463">
        <v>601</v>
      </c>
      <c r="I463" s="34">
        <f>+POWER_Regional_Daily_20150101_20190305_c11b3312[[#This Row],[Column8]]/100</f>
        <v>6.01</v>
      </c>
      <c r="J463" s="34"/>
    </row>
    <row r="464" spans="1:10" x14ac:dyDescent="0.25">
      <c r="A464" s="34" t="s">
        <v>164</v>
      </c>
      <c r="B464" s="34" t="s">
        <v>165</v>
      </c>
      <c r="C464" t="s">
        <v>253</v>
      </c>
      <c r="D464" t="s">
        <v>172</v>
      </c>
      <c r="E464" t="s">
        <v>210</v>
      </c>
      <c r="F464" t="s">
        <v>189</v>
      </c>
      <c r="G464" t="s">
        <v>169</v>
      </c>
      <c r="H464">
        <v>615</v>
      </c>
      <c r="I464" s="34">
        <f>+POWER_Regional_Daily_20150101_20190305_c11b3312[[#This Row],[Column8]]/100</f>
        <v>6.15</v>
      </c>
      <c r="J464" s="34"/>
    </row>
    <row r="465" spans="1:10" x14ac:dyDescent="0.25">
      <c r="A465" s="34" t="s">
        <v>164</v>
      </c>
      <c r="B465" s="34" t="s">
        <v>165</v>
      </c>
      <c r="C465" t="s">
        <v>253</v>
      </c>
      <c r="D465" t="s">
        <v>172</v>
      </c>
      <c r="E465" t="s">
        <v>212</v>
      </c>
      <c r="F465" t="s">
        <v>183</v>
      </c>
      <c r="G465" t="s">
        <v>169</v>
      </c>
      <c r="H465">
        <v>597</v>
      </c>
      <c r="I465" s="34">
        <f>+POWER_Regional_Daily_20150101_20190305_c11b3312[[#This Row],[Column8]]/100</f>
        <v>5.97</v>
      </c>
      <c r="J465" s="34"/>
    </row>
    <row r="466" spans="1:10" x14ac:dyDescent="0.25">
      <c r="A466" s="34" t="s">
        <v>164</v>
      </c>
      <c r="B466" s="34" t="s">
        <v>165</v>
      </c>
      <c r="C466" t="s">
        <v>253</v>
      </c>
      <c r="D466" t="s">
        <v>172</v>
      </c>
      <c r="E466" t="s">
        <v>214</v>
      </c>
      <c r="F466" t="s">
        <v>237</v>
      </c>
      <c r="G466" t="s">
        <v>169</v>
      </c>
      <c r="H466">
        <v>282</v>
      </c>
      <c r="I466" s="34">
        <f>+POWER_Regional_Daily_20150101_20190305_c11b3312[[#This Row],[Column8]]/100</f>
        <v>2.82</v>
      </c>
      <c r="J466" s="34"/>
    </row>
    <row r="467" spans="1:10" x14ac:dyDescent="0.25">
      <c r="A467" s="34" t="s">
        <v>164</v>
      </c>
      <c r="B467" s="34" t="s">
        <v>165</v>
      </c>
      <c r="C467" t="s">
        <v>253</v>
      </c>
      <c r="D467" t="s">
        <v>172</v>
      </c>
      <c r="E467" t="s">
        <v>215</v>
      </c>
      <c r="F467" t="s">
        <v>204</v>
      </c>
      <c r="G467" t="s">
        <v>169</v>
      </c>
      <c r="H467">
        <v>448</v>
      </c>
      <c r="I467" s="34">
        <f>+POWER_Regional_Daily_20150101_20190305_c11b3312[[#This Row],[Column8]]/100</f>
        <v>4.4800000000000004</v>
      </c>
      <c r="J467" s="34"/>
    </row>
    <row r="468" spans="1:10" x14ac:dyDescent="0.25">
      <c r="A468" s="34" t="s">
        <v>164</v>
      </c>
      <c r="B468" s="34" t="s">
        <v>165</v>
      </c>
      <c r="C468" t="s">
        <v>253</v>
      </c>
      <c r="D468" t="s">
        <v>172</v>
      </c>
      <c r="E468" t="s">
        <v>217</v>
      </c>
      <c r="F468" t="s">
        <v>213</v>
      </c>
      <c r="G468" t="s">
        <v>169</v>
      </c>
      <c r="H468">
        <v>578</v>
      </c>
      <c r="I468" s="34">
        <f>+POWER_Regional_Daily_20150101_20190305_c11b3312[[#This Row],[Column8]]/100</f>
        <v>5.78</v>
      </c>
      <c r="J468" s="34"/>
    </row>
    <row r="469" spans="1:10" x14ac:dyDescent="0.25">
      <c r="A469" s="34" t="s">
        <v>164</v>
      </c>
      <c r="B469" s="34" t="s">
        <v>165</v>
      </c>
      <c r="C469" t="s">
        <v>253</v>
      </c>
      <c r="D469" t="s">
        <v>172</v>
      </c>
      <c r="E469" t="s">
        <v>219</v>
      </c>
      <c r="F469" t="s">
        <v>246</v>
      </c>
      <c r="G469" t="s">
        <v>169</v>
      </c>
      <c r="H469">
        <v>397</v>
      </c>
      <c r="I469" s="34">
        <f>+POWER_Regional_Daily_20150101_20190305_c11b3312[[#This Row],[Column8]]/100</f>
        <v>3.97</v>
      </c>
      <c r="J469" s="34"/>
    </row>
    <row r="470" spans="1:10" x14ac:dyDescent="0.25">
      <c r="A470" s="34" t="s">
        <v>164</v>
      </c>
      <c r="B470" s="34" t="s">
        <v>165</v>
      </c>
      <c r="C470" t="s">
        <v>253</v>
      </c>
      <c r="D470" t="s">
        <v>172</v>
      </c>
      <c r="E470" t="s">
        <v>220</v>
      </c>
      <c r="F470" t="s">
        <v>197</v>
      </c>
      <c r="G470" t="s">
        <v>169</v>
      </c>
      <c r="H470">
        <v>457</v>
      </c>
      <c r="I470" s="34">
        <f>+POWER_Regional_Daily_20150101_20190305_c11b3312[[#This Row],[Column8]]/100</f>
        <v>4.57</v>
      </c>
      <c r="J470" s="34"/>
    </row>
    <row r="471" spans="1:10" x14ac:dyDescent="0.25">
      <c r="A471" s="34" t="s">
        <v>164</v>
      </c>
      <c r="B471" s="34" t="s">
        <v>165</v>
      </c>
      <c r="C471" t="s">
        <v>253</v>
      </c>
      <c r="D471" t="s">
        <v>174</v>
      </c>
      <c r="E471" t="s">
        <v>167</v>
      </c>
      <c r="F471" t="s">
        <v>204</v>
      </c>
      <c r="G471" t="s">
        <v>169</v>
      </c>
      <c r="H471">
        <v>449</v>
      </c>
      <c r="I471" s="34">
        <f>+POWER_Regional_Daily_20150101_20190305_c11b3312[[#This Row],[Column8]]/100</f>
        <v>4.49</v>
      </c>
      <c r="J471" s="34"/>
    </row>
    <row r="472" spans="1:10" x14ac:dyDescent="0.25">
      <c r="A472" s="34" t="s">
        <v>164</v>
      </c>
      <c r="B472" s="34" t="s">
        <v>165</v>
      </c>
      <c r="C472" t="s">
        <v>253</v>
      </c>
      <c r="D472" t="s">
        <v>174</v>
      </c>
      <c r="E472" t="s">
        <v>170</v>
      </c>
      <c r="F472" t="s">
        <v>225</v>
      </c>
      <c r="G472" t="s">
        <v>169</v>
      </c>
      <c r="H472">
        <v>311</v>
      </c>
      <c r="I472" s="34">
        <f>+POWER_Regional_Daily_20150101_20190305_c11b3312[[#This Row],[Column8]]/100</f>
        <v>3.11</v>
      </c>
      <c r="J472" s="34"/>
    </row>
    <row r="473" spans="1:10" x14ac:dyDescent="0.25">
      <c r="A473" s="34" t="s">
        <v>164</v>
      </c>
      <c r="B473" s="34" t="s">
        <v>165</v>
      </c>
      <c r="C473" t="s">
        <v>253</v>
      </c>
      <c r="D473" t="s">
        <v>174</v>
      </c>
      <c r="E473" t="s">
        <v>172</v>
      </c>
      <c r="F473" t="s">
        <v>187</v>
      </c>
      <c r="G473" t="s">
        <v>169</v>
      </c>
      <c r="H473">
        <v>-999</v>
      </c>
      <c r="I473" s="34">
        <f>+POWER_Regional_Daily_20150101_20190305_c11b3312[[#This Row],[Column8]]/100</f>
        <v>-9.99</v>
      </c>
      <c r="J473" s="34"/>
    </row>
    <row r="474" spans="1:10" x14ac:dyDescent="0.25">
      <c r="A474" s="34" t="s">
        <v>164</v>
      </c>
      <c r="B474" s="34" t="s">
        <v>165</v>
      </c>
      <c r="C474" t="s">
        <v>253</v>
      </c>
      <c r="D474" t="s">
        <v>174</v>
      </c>
      <c r="E474" t="s">
        <v>174</v>
      </c>
      <c r="F474" t="s">
        <v>237</v>
      </c>
      <c r="G474" t="s">
        <v>169</v>
      </c>
      <c r="H474">
        <v>282</v>
      </c>
      <c r="I474" s="34">
        <f>+POWER_Regional_Daily_20150101_20190305_c11b3312[[#This Row],[Column8]]/100</f>
        <v>2.82</v>
      </c>
      <c r="J474" s="34"/>
    </row>
    <row r="475" spans="1:10" x14ac:dyDescent="0.25">
      <c r="A475" s="34" t="s">
        <v>164</v>
      </c>
      <c r="B475" s="34" t="s">
        <v>165</v>
      </c>
      <c r="C475" t="s">
        <v>253</v>
      </c>
      <c r="D475" t="s">
        <v>174</v>
      </c>
      <c r="E475" t="s">
        <v>175</v>
      </c>
      <c r="F475" t="s">
        <v>233</v>
      </c>
      <c r="G475" t="s">
        <v>169</v>
      </c>
      <c r="H475">
        <v>481</v>
      </c>
      <c r="I475" s="34">
        <f>+POWER_Regional_Daily_20150101_20190305_c11b3312[[#This Row],[Column8]]/100</f>
        <v>4.8099999999999996</v>
      </c>
      <c r="J475" s="34"/>
    </row>
    <row r="476" spans="1:10" x14ac:dyDescent="0.25">
      <c r="A476" s="34" t="s">
        <v>164</v>
      </c>
      <c r="B476" s="34" t="s">
        <v>165</v>
      </c>
      <c r="C476" t="s">
        <v>253</v>
      </c>
      <c r="D476" t="s">
        <v>174</v>
      </c>
      <c r="E476" t="s">
        <v>177</v>
      </c>
      <c r="F476" t="s">
        <v>233</v>
      </c>
      <c r="G476" t="s">
        <v>169</v>
      </c>
      <c r="H476">
        <v>487</v>
      </c>
      <c r="I476" s="34">
        <f>+POWER_Regional_Daily_20150101_20190305_c11b3312[[#This Row],[Column8]]/100</f>
        <v>4.87</v>
      </c>
      <c r="J476" s="34"/>
    </row>
    <row r="477" spans="1:10" x14ac:dyDescent="0.25">
      <c r="A477" s="34" t="s">
        <v>164</v>
      </c>
      <c r="B477" s="34" t="s">
        <v>165</v>
      </c>
      <c r="C477" t="s">
        <v>253</v>
      </c>
      <c r="D477" t="s">
        <v>174</v>
      </c>
      <c r="E477" t="s">
        <v>178</v>
      </c>
      <c r="F477" t="s">
        <v>229</v>
      </c>
      <c r="G477" t="s">
        <v>169</v>
      </c>
      <c r="H477">
        <v>362</v>
      </c>
      <c r="I477" s="34">
        <f>+POWER_Regional_Daily_20150101_20190305_c11b3312[[#This Row],[Column8]]/100</f>
        <v>3.62</v>
      </c>
      <c r="J477" s="34"/>
    </row>
    <row r="478" spans="1:10" x14ac:dyDescent="0.25">
      <c r="A478" s="34" t="s">
        <v>164</v>
      </c>
      <c r="B478" s="34" t="s">
        <v>165</v>
      </c>
      <c r="C478" t="s">
        <v>253</v>
      </c>
      <c r="D478" t="s">
        <v>174</v>
      </c>
      <c r="E478" t="s">
        <v>180</v>
      </c>
      <c r="F478" t="s">
        <v>236</v>
      </c>
      <c r="G478" t="s">
        <v>169</v>
      </c>
      <c r="H478">
        <v>541</v>
      </c>
      <c r="I478" s="34">
        <f>+POWER_Regional_Daily_20150101_20190305_c11b3312[[#This Row],[Column8]]/100</f>
        <v>5.41</v>
      </c>
      <c r="J478" s="34"/>
    </row>
    <row r="479" spans="1:10" x14ac:dyDescent="0.25">
      <c r="A479" s="34" t="s">
        <v>164</v>
      </c>
      <c r="B479" s="34" t="s">
        <v>165</v>
      </c>
      <c r="C479" t="s">
        <v>253</v>
      </c>
      <c r="D479" t="s">
        <v>174</v>
      </c>
      <c r="E479" t="s">
        <v>182</v>
      </c>
      <c r="F479" t="s">
        <v>241</v>
      </c>
      <c r="G479" t="s">
        <v>169</v>
      </c>
      <c r="H479">
        <v>307</v>
      </c>
      <c r="I479" s="34">
        <f>+POWER_Regional_Daily_20150101_20190305_c11b3312[[#This Row],[Column8]]/100</f>
        <v>3.07</v>
      </c>
      <c r="J479" s="34"/>
    </row>
    <row r="480" spans="1:10" x14ac:dyDescent="0.25">
      <c r="A480" s="34" t="s">
        <v>164</v>
      </c>
      <c r="B480" s="34" t="s">
        <v>165</v>
      </c>
      <c r="C480" t="s">
        <v>253</v>
      </c>
      <c r="D480" t="s">
        <v>174</v>
      </c>
      <c r="E480" t="s">
        <v>184</v>
      </c>
      <c r="F480" t="s">
        <v>233</v>
      </c>
      <c r="G480" t="s">
        <v>169</v>
      </c>
      <c r="H480">
        <v>485</v>
      </c>
      <c r="I480" s="34">
        <f>+POWER_Regional_Daily_20150101_20190305_c11b3312[[#This Row],[Column8]]/100</f>
        <v>4.8499999999999996</v>
      </c>
      <c r="J480" s="34"/>
    </row>
    <row r="481" spans="1:10" x14ac:dyDescent="0.25">
      <c r="A481" s="34" t="s">
        <v>164</v>
      </c>
      <c r="B481" s="34" t="s">
        <v>165</v>
      </c>
      <c r="C481" t="s">
        <v>253</v>
      </c>
      <c r="D481" t="s">
        <v>174</v>
      </c>
      <c r="E481" t="s">
        <v>186</v>
      </c>
      <c r="F481" t="s">
        <v>224</v>
      </c>
      <c r="G481" t="s">
        <v>169</v>
      </c>
      <c r="H481">
        <v>468</v>
      </c>
      <c r="I481" s="34">
        <f>+POWER_Regional_Daily_20150101_20190305_c11b3312[[#This Row],[Column8]]/100</f>
        <v>4.68</v>
      </c>
      <c r="J481" s="34"/>
    </row>
    <row r="482" spans="1:10" x14ac:dyDescent="0.25">
      <c r="A482" s="34" t="s">
        <v>164</v>
      </c>
      <c r="B482" s="34" t="s">
        <v>165</v>
      </c>
      <c r="C482" t="s">
        <v>253</v>
      </c>
      <c r="D482" t="s">
        <v>174</v>
      </c>
      <c r="E482" t="s">
        <v>188</v>
      </c>
      <c r="F482" t="s">
        <v>266</v>
      </c>
      <c r="G482" t="s">
        <v>169</v>
      </c>
      <c r="H482">
        <v>145</v>
      </c>
      <c r="I482" s="34">
        <f>+POWER_Regional_Daily_20150101_20190305_c11b3312[[#This Row],[Column8]]/100</f>
        <v>1.45</v>
      </c>
      <c r="J482" s="34"/>
    </row>
    <row r="483" spans="1:10" x14ac:dyDescent="0.25">
      <c r="A483" s="34" t="s">
        <v>164</v>
      </c>
      <c r="B483" s="34" t="s">
        <v>165</v>
      </c>
      <c r="C483" t="s">
        <v>253</v>
      </c>
      <c r="D483" t="s">
        <v>174</v>
      </c>
      <c r="E483" t="s">
        <v>190</v>
      </c>
      <c r="F483" t="s">
        <v>225</v>
      </c>
      <c r="G483" t="s">
        <v>169</v>
      </c>
      <c r="H483">
        <v>316</v>
      </c>
      <c r="I483" s="34">
        <f>+POWER_Regional_Daily_20150101_20190305_c11b3312[[#This Row],[Column8]]/100</f>
        <v>3.16</v>
      </c>
      <c r="J483" s="34"/>
    </row>
    <row r="484" spans="1:10" x14ac:dyDescent="0.25">
      <c r="A484" s="34" t="s">
        <v>164</v>
      </c>
      <c r="B484" s="34" t="s">
        <v>165</v>
      </c>
      <c r="C484" t="s">
        <v>253</v>
      </c>
      <c r="D484" t="s">
        <v>174</v>
      </c>
      <c r="E484" t="s">
        <v>192</v>
      </c>
      <c r="F484" t="s">
        <v>223</v>
      </c>
      <c r="G484" t="s">
        <v>169</v>
      </c>
      <c r="H484">
        <v>516</v>
      </c>
      <c r="I484" s="34">
        <f>+POWER_Regional_Daily_20150101_20190305_c11b3312[[#This Row],[Column8]]/100</f>
        <v>5.16</v>
      </c>
      <c r="J484" s="34"/>
    </row>
    <row r="485" spans="1:10" x14ac:dyDescent="0.25">
      <c r="A485" s="34" t="s">
        <v>164</v>
      </c>
      <c r="B485" s="34" t="s">
        <v>165</v>
      </c>
      <c r="C485" t="s">
        <v>253</v>
      </c>
      <c r="D485" t="s">
        <v>174</v>
      </c>
      <c r="E485" t="s">
        <v>194</v>
      </c>
      <c r="F485" t="s">
        <v>232</v>
      </c>
      <c r="G485" t="s">
        <v>169</v>
      </c>
      <c r="H485">
        <v>622</v>
      </c>
      <c r="I485" s="34">
        <f>+POWER_Regional_Daily_20150101_20190305_c11b3312[[#This Row],[Column8]]/100</f>
        <v>6.22</v>
      </c>
      <c r="J485" s="34"/>
    </row>
    <row r="486" spans="1:10" x14ac:dyDescent="0.25">
      <c r="A486" s="34" t="s">
        <v>164</v>
      </c>
      <c r="B486" s="34" t="s">
        <v>165</v>
      </c>
      <c r="C486" t="s">
        <v>253</v>
      </c>
      <c r="D486" t="s">
        <v>174</v>
      </c>
      <c r="E486" t="s">
        <v>196</v>
      </c>
      <c r="F486" t="s">
        <v>237</v>
      </c>
      <c r="G486" t="s">
        <v>169</v>
      </c>
      <c r="H486">
        <v>285</v>
      </c>
      <c r="I486" s="34">
        <f>+POWER_Regional_Daily_20150101_20190305_c11b3312[[#This Row],[Column8]]/100</f>
        <v>2.85</v>
      </c>
      <c r="J486" s="34"/>
    </row>
    <row r="487" spans="1:10" x14ac:dyDescent="0.25">
      <c r="A487" s="34" t="s">
        <v>164</v>
      </c>
      <c r="B487" s="34" t="s">
        <v>165</v>
      </c>
      <c r="C487" t="s">
        <v>253</v>
      </c>
      <c r="D487" t="s">
        <v>174</v>
      </c>
      <c r="E487" t="s">
        <v>198</v>
      </c>
      <c r="F487" t="s">
        <v>224</v>
      </c>
      <c r="G487" t="s">
        <v>169</v>
      </c>
      <c r="H487">
        <v>469</v>
      </c>
      <c r="I487" s="34">
        <f>+POWER_Regional_Daily_20150101_20190305_c11b3312[[#This Row],[Column8]]/100</f>
        <v>4.6900000000000004</v>
      </c>
      <c r="J487" s="34"/>
    </row>
    <row r="488" spans="1:10" x14ac:dyDescent="0.25">
      <c r="A488" s="34" t="s">
        <v>164</v>
      </c>
      <c r="B488" s="34" t="s">
        <v>165</v>
      </c>
      <c r="C488" t="s">
        <v>253</v>
      </c>
      <c r="D488" t="s">
        <v>174</v>
      </c>
      <c r="E488" t="s">
        <v>199</v>
      </c>
      <c r="F488" t="s">
        <v>201</v>
      </c>
      <c r="G488" t="s">
        <v>169</v>
      </c>
      <c r="H488">
        <v>548</v>
      </c>
      <c r="I488" s="34">
        <f>+POWER_Regional_Daily_20150101_20190305_c11b3312[[#This Row],[Column8]]/100</f>
        <v>5.48</v>
      </c>
      <c r="J488" s="34"/>
    </row>
    <row r="489" spans="1:10" x14ac:dyDescent="0.25">
      <c r="A489" s="34" t="s">
        <v>164</v>
      </c>
      <c r="B489" s="34" t="s">
        <v>165</v>
      </c>
      <c r="C489" t="s">
        <v>253</v>
      </c>
      <c r="D489" t="s">
        <v>174</v>
      </c>
      <c r="E489" t="s">
        <v>200</v>
      </c>
      <c r="F489" t="s">
        <v>187</v>
      </c>
      <c r="G489" t="s">
        <v>169</v>
      </c>
      <c r="H489">
        <v>-999</v>
      </c>
      <c r="I489" s="34">
        <f>+POWER_Regional_Daily_20150101_20190305_c11b3312[[#This Row],[Column8]]/100</f>
        <v>-9.99</v>
      </c>
      <c r="J489" s="34"/>
    </row>
    <row r="490" spans="1:10" x14ac:dyDescent="0.25">
      <c r="A490" s="34" t="s">
        <v>164</v>
      </c>
      <c r="B490" s="34" t="s">
        <v>165</v>
      </c>
      <c r="C490" t="s">
        <v>253</v>
      </c>
      <c r="D490" t="s">
        <v>174</v>
      </c>
      <c r="E490" t="s">
        <v>202</v>
      </c>
      <c r="F490" t="s">
        <v>181</v>
      </c>
      <c r="G490" t="s">
        <v>169</v>
      </c>
      <c r="H490">
        <v>579</v>
      </c>
      <c r="I490" s="34">
        <f>+POWER_Regional_Daily_20150101_20190305_c11b3312[[#This Row],[Column8]]/100</f>
        <v>5.79</v>
      </c>
      <c r="J490" s="34"/>
    </row>
    <row r="491" spans="1:10" x14ac:dyDescent="0.25">
      <c r="A491" s="34" t="s">
        <v>164</v>
      </c>
      <c r="B491" s="34" t="s">
        <v>165</v>
      </c>
      <c r="C491" t="s">
        <v>253</v>
      </c>
      <c r="D491" t="s">
        <v>174</v>
      </c>
      <c r="E491" t="s">
        <v>203</v>
      </c>
      <c r="F491" t="s">
        <v>238</v>
      </c>
      <c r="G491" t="s">
        <v>169</v>
      </c>
      <c r="H491">
        <v>651</v>
      </c>
      <c r="I491" s="34">
        <f>+POWER_Regional_Daily_20150101_20190305_c11b3312[[#This Row],[Column8]]/100</f>
        <v>6.51</v>
      </c>
      <c r="J491" s="34"/>
    </row>
    <row r="492" spans="1:10" x14ac:dyDescent="0.25">
      <c r="A492" s="34" t="s">
        <v>164</v>
      </c>
      <c r="B492" s="34" t="s">
        <v>165</v>
      </c>
      <c r="C492" t="s">
        <v>253</v>
      </c>
      <c r="D492" t="s">
        <v>174</v>
      </c>
      <c r="E492" t="s">
        <v>205</v>
      </c>
      <c r="F492" t="s">
        <v>204</v>
      </c>
      <c r="G492" t="s">
        <v>169</v>
      </c>
      <c r="H492">
        <v>446</v>
      </c>
      <c r="I492" s="34">
        <f>+POWER_Regional_Daily_20150101_20190305_c11b3312[[#This Row],[Column8]]/100</f>
        <v>4.46</v>
      </c>
      <c r="J492" s="34"/>
    </row>
    <row r="493" spans="1:10" x14ac:dyDescent="0.25">
      <c r="A493" s="34" t="s">
        <v>164</v>
      </c>
      <c r="B493" s="34" t="s">
        <v>165</v>
      </c>
      <c r="C493" t="s">
        <v>253</v>
      </c>
      <c r="D493" t="s">
        <v>174</v>
      </c>
      <c r="E493" t="s">
        <v>207</v>
      </c>
      <c r="F493" t="s">
        <v>206</v>
      </c>
      <c r="G493" t="s">
        <v>169</v>
      </c>
      <c r="H493">
        <v>408</v>
      </c>
      <c r="I493" s="34">
        <f>+POWER_Regional_Daily_20150101_20190305_c11b3312[[#This Row],[Column8]]/100</f>
        <v>4.08</v>
      </c>
      <c r="J493" s="34"/>
    </row>
    <row r="494" spans="1:10" x14ac:dyDescent="0.25">
      <c r="A494" s="34" t="s">
        <v>164</v>
      </c>
      <c r="B494" s="34" t="s">
        <v>165</v>
      </c>
      <c r="C494" t="s">
        <v>253</v>
      </c>
      <c r="D494" t="s">
        <v>174</v>
      </c>
      <c r="E494" t="s">
        <v>208</v>
      </c>
      <c r="F494" t="s">
        <v>243</v>
      </c>
      <c r="G494" t="s">
        <v>169</v>
      </c>
      <c r="H494">
        <v>318</v>
      </c>
      <c r="I494" s="34">
        <f>+POWER_Regional_Daily_20150101_20190305_c11b3312[[#This Row],[Column8]]/100</f>
        <v>3.18</v>
      </c>
      <c r="J494" s="34"/>
    </row>
    <row r="495" spans="1:10" x14ac:dyDescent="0.25">
      <c r="A495" s="34" t="s">
        <v>164</v>
      </c>
      <c r="B495" s="34" t="s">
        <v>165</v>
      </c>
      <c r="C495" t="s">
        <v>253</v>
      </c>
      <c r="D495" t="s">
        <v>174</v>
      </c>
      <c r="E495" t="s">
        <v>210</v>
      </c>
      <c r="F495" t="s">
        <v>235</v>
      </c>
      <c r="G495" t="s">
        <v>169</v>
      </c>
      <c r="H495">
        <v>515</v>
      </c>
      <c r="I495" s="34">
        <f>+POWER_Regional_Daily_20150101_20190305_c11b3312[[#This Row],[Column8]]/100</f>
        <v>5.15</v>
      </c>
      <c r="J495" s="34"/>
    </row>
    <row r="496" spans="1:10" x14ac:dyDescent="0.25">
      <c r="A496" s="34" t="s">
        <v>164</v>
      </c>
      <c r="B496" s="34" t="s">
        <v>165</v>
      </c>
      <c r="C496" t="s">
        <v>253</v>
      </c>
      <c r="D496" t="s">
        <v>174</v>
      </c>
      <c r="E496" t="s">
        <v>212</v>
      </c>
      <c r="F496" t="s">
        <v>230</v>
      </c>
      <c r="G496" t="s">
        <v>169</v>
      </c>
      <c r="H496">
        <v>385</v>
      </c>
      <c r="I496" s="34">
        <f>+POWER_Regional_Daily_20150101_20190305_c11b3312[[#This Row],[Column8]]/100</f>
        <v>3.85</v>
      </c>
      <c r="J496" s="34"/>
    </row>
    <row r="497" spans="1:10" x14ac:dyDescent="0.25">
      <c r="A497" s="34" t="s">
        <v>164</v>
      </c>
      <c r="B497" s="34" t="s">
        <v>165</v>
      </c>
      <c r="C497" t="s">
        <v>253</v>
      </c>
      <c r="D497" t="s">
        <v>174</v>
      </c>
      <c r="E497" t="s">
        <v>214</v>
      </c>
      <c r="F497" t="s">
        <v>221</v>
      </c>
      <c r="G497" t="s">
        <v>169</v>
      </c>
      <c r="H497">
        <v>425</v>
      </c>
      <c r="I497" s="34">
        <f>+POWER_Regional_Daily_20150101_20190305_c11b3312[[#This Row],[Column8]]/100</f>
        <v>4.25</v>
      </c>
      <c r="J497" s="34"/>
    </row>
    <row r="498" spans="1:10" x14ac:dyDescent="0.25">
      <c r="A498" s="34" t="s">
        <v>164</v>
      </c>
      <c r="B498" s="34" t="s">
        <v>165</v>
      </c>
      <c r="C498" t="s">
        <v>253</v>
      </c>
      <c r="D498" t="s">
        <v>174</v>
      </c>
      <c r="E498" t="s">
        <v>215</v>
      </c>
      <c r="F498" t="s">
        <v>252</v>
      </c>
      <c r="G498" t="s">
        <v>169</v>
      </c>
      <c r="H498">
        <v>247</v>
      </c>
      <c r="I498" s="34">
        <f>+POWER_Regional_Daily_20150101_20190305_c11b3312[[#This Row],[Column8]]/100</f>
        <v>2.4700000000000002</v>
      </c>
      <c r="J498" s="34"/>
    </row>
    <row r="499" spans="1:10" x14ac:dyDescent="0.25">
      <c r="A499" s="34" t="s">
        <v>164</v>
      </c>
      <c r="B499" s="34" t="s">
        <v>165</v>
      </c>
      <c r="C499" t="s">
        <v>253</v>
      </c>
      <c r="D499" t="s">
        <v>174</v>
      </c>
      <c r="E499" t="s">
        <v>217</v>
      </c>
      <c r="F499" t="s">
        <v>195</v>
      </c>
      <c r="G499" t="s">
        <v>169</v>
      </c>
      <c r="H499">
        <v>484</v>
      </c>
      <c r="I499" s="34">
        <f>+POWER_Regional_Daily_20150101_20190305_c11b3312[[#This Row],[Column8]]/100</f>
        <v>4.84</v>
      </c>
      <c r="J499" s="34"/>
    </row>
    <row r="500" spans="1:10" x14ac:dyDescent="0.25">
      <c r="A500" s="34" t="s">
        <v>164</v>
      </c>
      <c r="B500" s="34" t="s">
        <v>165</v>
      </c>
      <c r="C500" t="s">
        <v>253</v>
      </c>
      <c r="D500" t="s">
        <v>174</v>
      </c>
      <c r="E500" t="s">
        <v>219</v>
      </c>
      <c r="F500" t="s">
        <v>229</v>
      </c>
      <c r="G500" t="s">
        <v>169</v>
      </c>
      <c r="H500">
        <v>364</v>
      </c>
      <c r="I500" s="34">
        <f>+POWER_Regional_Daily_20150101_20190305_c11b3312[[#This Row],[Column8]]/100</f>
        <v>3.64</v>
      </c>
      <c r="J500" s="34"/>
    </row>
    <row r="501" spans="1:10" x14ac:dyDescent="0.25">
      <c r="A501" s="34" t="s">
        <v>164</v>
      </c>
      <c r="B501" s="34" t="s">
        <v>165</v>
      </c>
      <c r="C501" t="s">
        <v>253</v>
      </c>
      <c r="D501" t="s">
        <v>175</v>
      </c>
      <c r="E501" t="s">
        <v>167</v>
      </c>
      <c r="F501" t="s">
        <v>229</v>
      </c>
      <c r="G501" t="s">
        <v>169</v>
      </c>
      <c r="H501">
        <v>359</v>
      </c>
      <c r="I501" s="34">
        <f>+POWER_Regional_Daily_20150101_20190305_c11b3312[[#This Row],[Column8]]/100</f>
        <v>3.59</v>
      </c>
      <c r="J501" s="34"/>
    </row>
    <row r="502" spans="1:10" x14ac:dyDescent="0.25">
      <c r="A502" s="34" t="s">
        <v>164</v>
      </c>
      <c r="B502" s="34" t="s">
        <v>165</v>
      </c>
      <c r="C502" t="s">
        <v>253</v>
      </c>
      <c r="D502" t="s">
        <v>175</v>
      </c>
      <c r="E502" t="s">
        <v>170</v>
      </c>
      <c r="F502" t="s">
        <v>256</v>
      </c>
      <c r="G502" t="s">
        <v>169</v>
      </c>
      <c r="H502">
        <v>238</v>
      </c>
      <c r="I502" s="34">
        <f>+POWER_Regional_Daily_20150101_20190305_c11b3312[[#This Row],[Column8]]/100</f>
        <v>2.38</v>
      </c>
      <c r="J502" s="34"/>
    </row>
    <row r="503" spans="1:10" x14ac:dyDescent="0.25">
      <c r="A503" s="34" t="s">
        <v>164</v>
      </c>
      <c r="B503" s="34" t="s">
        <v>165</v>
      </c>
      <c r="C503" t="s">
        <v>253</v>
      </c>
      <c r="D503" t="s">
        <v>175</v>
      </c>
      <c r="E503" t="s">
        <v>172</v>
      </c>
      <c r="F503" t="s">
        <v>195</v>
      </c>
      <c r="G503" t="s">
        <v>169</v>
      </c>
      <c r="H503">
        <v>479</v>
      </c>
      <c r="I503" s="34">
        <f>+POWER_Regional_Daily_20150101_20190305_c11b3312[[#This Row],[Column8]]/100</f>
        <v>4.79</v>
      </c>
      <c r="J503" s="34"/>
    </row>
    <row r="504" spans="1:10" x14ac:dyDescent="0.25">
      <c r="A504" s="34" t="s">
        <v>164</v>
      </c>
      <c r="B504" s="34" t="s">
        <v>165</v>
      </c>
      <c r="C504" t="s">
        <v>253</v>
      </c>
      <c r="D504" t="s">
        <v>175</v>
      </c>
      <c r="E504" t="s">
        <v>174</v>
      </c>
      <c r="F504" t="s">
        <v>206</v>
      </c>
      <c r="G504" t="s">
        <v>169</v>
      </c>
      <c r="H504">
        <v>399</v>
      </c>
      <c r="I504" s="34">
        <f>+POWER_Regional_Daily_20150101_20190305_c11b3312[[#This Row],[Column8]]/100</f>
        <v>3.99</v>
      </c>
      <c r="J504" s="34"/>
    </row>
    <row r="505" spans="1:10" x14ac:dyDescent="0.25">
      <c r="A505" s="34" t="s">
        <v>164</v>
      </c>
      <c r="B505" s="34" t="s">
        <v>165</v>
      </c>
      <c r="C505" t="s">
        <v>253</v>
      </c>
      <c r="D505" t="s">
        <v>175</v>
      </c>
      <c r="E505" t="s">
        <v>175</v>
      </c>
      <c r="F505" t="s">
        <v>187</v>
      </c>
      <c r="G505" t="s">
        <v>169</v>
      </c>
      <c r="H505">
        <v>-999</v>
      </c>
      <c r="I505" s="34">
        <f>+POWER_Regional_Daily_20150101_20190305_c11b3312[[#This Row],[Column8]]/100</f>
        <v>-9.99</v>
      </c>
      <c r="J505" s="34"/>
    </row>
    <row r="506" spans="1:10" x14ac:dyDescent="0.25">
      <c r="A506" s="34" t="s">
        <v>164</v>
      </c>
      <c r="B506" s="34" t="s">
        <v>165</v>
      </c>
      <c r="C506" t="s">
        <v>253</v>
      </c>
      <c r="D506" t="s">
        <v>175</v>
      </c>
      <c r="E506" t="s">
        <v>177</v>
      </c>
      <c r="F506" t="s">
        <v>216</v>
      </c>
      <c r="G506" t="s">
        <v>169</v>
      </c>
      <c r="H506">
        <v>327</v>
      </c>
      <c r="I506" s="34">
        <f>+POWER_Regional_Daily_20150101_20190305_c11b3312[[#This Row],[Column8]]/100</f>
        <v>3.27</v>
      </c>
      <c r="J506" s="34"/>
    </row>
    <row r="507" spans="1:10" x14ac:dyDescent="0.25">
      <c r="A507" s="34" t="s">
        <v>164</v>
      </c>
      <c r="B507" s="34" t="s">
        <v>165</v>
      </c>
      <c r="C507" t="s">
        <v>253</v>
      </c>
      <c r="D507" t="s">
        <v>175</v>
      </c>
      <c r="E507" t="s">
        <v>178</v>
      </c>
      <c r="F507" t="s">
        <v>197</v>
      </c>
      <c r="G507" t="s">
        <v>169</v>
      </c>
      <c r="H507">
        <v>452</v>
      </c>
      <c r="I507" s="34">
        <f>+POWER_Regional_Daily_20150101_20190305_c11b3312[[#This Row],[Column8]]/100</f>
        <v>4.5199999999999996</v>
      </c>
      <c r="J507" s="34"/>
    </row>
    <row r="508" spans="1:10" x14ac:dyDescent="0.25">
      <c r="A508" s="34" t="s">
        <v>164</v>
      </c>
      <c r="B508" s="34" t="s">
        <v>165</v>
      </c>
      <c r="C508" t="s">
        <v>253</v>
      </c>
      <c r="D508" t="s">
        <v>175</v>
      </c>
      <c r="E508" t="s">
        <v>180</v>
      </c>
      <c r="F508" t="s">
        <v>233</v>
      </c>
      <c r="G508" t="s">
        <v>169</v>
      </c>
      <c r="H508">
        <v>473</v>
      </c>
      <c r="I508" s="34">
        <f>+POWER_Regional_Daily_20150101_20190305_c11b3312[[#This Row],[Column8]]/100</f>
        <v>4.7300000000000004</v>
      </c>
      <c r="J508" s="34"/>
    </row>
    <row r="509" spans="1:10" x14ac:dyDescent="0.25">
      <c r="A509" s="34" t="s">
        <v>164</v>
      </c>
      <c r="B509" s="34" t="s">
        <v>165</v>
      </c>
      <c r="C509" t="s">
        <v>253</v>
      </c>
      <c r="D509" t="s">
        <v>175</v>
      </c>
      <c r="E509" t="s">
        <v>182</v>
      </c>
      <c r="F509" t="s">
        <v>229</v>
      </c>
      <c r="G509" t="s">
        <v>169</v>
      </c>
      <c r="H509">
        <v>357</v>
      </c>
      <c r="I509" s="34">
        <f>+POWER_Regional_Daily_20150101_20190305_c11b3312[[#This Row],[Column8]]/100</f>
        <v>3.57</v>
      </c>
      <c r="J509" s="34"/>
    </row>
    <row r="510" spans="1:10" x14ac:dyDescent="0.25">
      <c r="A510" s="34" t="s">
        <v>164</v>
      </c>
      <c r="B510" s="34" t="s">
        <v>165</v>
      </c>
      <c r="C510" t="s">
        <v>253</v>
      </c>
      <c r="D510" t="s">
        <v>175</v>
      </c>
      <c r="E510" t="s">
        <v>184</v>
      </c>
      <c r="F510" t="s">
        <v>311</v>
      </c>
      <c r="G510" t="s">
        <v>169</v>
      </c>
      <c r="H510">
        <v>175</v>
      </c>
      <c r="I510" s="34">
        <f>+POWER_Regional_Daily_20150101_20190305_c11b3312[[#This Row],[Column8]]/100</f>
        <v>1.75</v>
      </c>
      <c r="J510" s="34"/>
    </row>
    <row r="511" spans="1:10" x14ac:dyDescent="0.25">
      <c r="A511" s="34" t="s">
        <v>164</v>
      </c>
      <c r="B511" s="34" t="s">
        <v>165</v>
      </c>
      <c r="C511" t="s">
        <v>253</v>
      </c>
      <c r="D511" t="s">
        <v>175</v>
      </c>
      <c r="E511" t="s">
        <v>186</v>
      </c>
      <c r="F511" t="s">
        <v>235</v>
      </c>
      <c r="G511" t="s">
        <v>169</v>
      </c>
      <c r="H511">
        <v>512</v>
      </c>
      <c r="I511" s="34">
        <f>+POWER_Regional_Daily_20150101_20190305_c11b3312[[#This Row],[Column8]]/100</f>
        <v>5.12</v>
      </c>
      <c r="J511" s="34"/>
    </row>
    <row r="512" spans="1:10" x14ac:dyDescent="0.25">
      <c r="A512" s="34" t="s">
        <v>164</v>
      </c>
      <c r="B512" s="34" t="s">
        <v>165</v>
      </c>
      <c r="C512" t="s">
        <v>253</v>
      </c>
      <c r="D512" t="s">
        <v>175</v>
      </c>
      <c r="E512" t="s">
        <v>188</v>
      </c>
      <c r="F512" t="s">
        <v>189</v>
      </c>
      <c r="G512" t="s">
        <v>169</v>
      </c>
      <c r="H512">
        <v>601</v>
      </c>
      <c r="I512" s="34">
        <f>+POWER_Regional_Daily_20150101_20190305_c11b3312[[#This Row],[Column8]]/100</f>
        <v>6.01</v>
      </c>
      <c r="J512" s="34"/>
    </row>
    <row r="513" spans="1:10" x14ac:dyDescent="0.25">
      <c r="A513" s="34" t="s">
        <v>164</v>
      </c>
      <c r="B513" s="34" t="s">
        <v>165</v>
      </c>
      <c r="C513" t="s">
        <v>253</v>
      </c>
      <c r="D513" t="s">
        <v>175</v>
      </c>
      <c r="E513" t="s">
        <v>190</v>
      </c>
      <c r="F513" t="s">
        <v>235</v>
      </c>
      <c r="G513" t="s">
        <v>169</v>
      </c>
      <c r="H513">
        <v>505</v>
      </c>
      <c r="I513" s="34">
        <f>+POWER_Regional_Daily_20150101_20190305_c11b3312[[#This Row],[Column8]]/100</f>
        <v>5.05</v>
      </c>
      <c r="J513" s="34"/>
    </row>
    <row r="514" spans="1:10" x14ac:dyDescent="0.25">
      <c r="A514" s="34" t="s">
        <v>164</v>
      </c>
      <c r="B514" s="34" t="s">
        <v>165</v>
      </c>
      <c r="C514" t="s">
        <v>253</v>
      </c>
      <c r="D514" t="s">
        <v>175</v>
      </c>
      <c r="E514" t="s">
        <v>192</v>
      </c>
      <c r="F514" t="s">
        <v>226</v>
      </c>
      <c r="G514" t="s">
        <v>169</v>
      </c>
      <c r="H514">
        <v>219</v>
      </c>
      <c r="I514" s="34">
        <f>+POWER_Regional_Daily_20150101_20190305_c11b3312[[#This Row],[Column8]]/100</f>
        <v>2.19</v>
      </c>
      <c r="J514" s="34"/>
    </row>
    <row r="515" spans="1:10" x14ac:dyDescent="0.25">
      <c r="A515" s="34" t="s">
        <v>164</v>
      </c>
      <c r="B515" s="34" t="s">
        <v>165</v>
      </c>
      <c r="C515" t="s">
        <v>253</v>
      </c>
      <c r="D515" t="s">
        <v>175</v>
      </c>
      <c r="E515" t="s">
        <v>194</v>
      </c>
      <c r="F515" t="s">
        <v>176</v>
      </c>
      <c r="G515" t="s">
        <v>169</v>
      </c>
      <c r="H515">
        <v>669</v>
      </c>
      <c r="I515" s="34">
        <f>+POWER_Regional_Daily_20150101_20190305_c11b3312[[#This Row],[Column8]]/100</f>
        <v>6.69</v>
      </c>
      <c r="J515" s="34"/>
    </row>
    <row r="516" spans="1:10" x14ac:dyDescent="0.25">
      <c r="A516" s="34" t="s">
        <v>164</v>
      </c>
      <c r="B516" s="34" t="s">
        <v>165</v>
      </c>
      <c r="C516" t="s">
        <v>253</v>
      </c>
      <c r="D516" t="s">
        <v>175</v>
      </c>
      <c r="E516" t="s">
        <v>196</v>
      </c>
      <c r="F516" t="s">
        <v>189</v>
      </c>
      <c r="G516" t="s">
        <v>169</v>
      </c>
      <c r="H516">
        <v>592</v>
      </c>
      <c r="I516" s="34">
        <f>+POWER_Regional_Daily_20150101_20190305_c11b3312[[#This Row],[Column8]]/100</f>
        <v>5.92</v>
      </c>
      <c r="J516" s="34"/>
    </row>
    <row r="517" spans="1:10" x14ac:dyDescent="0.25">
      <c r="A517" s="34" t="s">
        <v>164</v>
      </c>
      <c r="B517" s="34" t="s">
        <v>165</v>
      </c>
      <c r="C517" t="s">
        <v>253</v>
      </c>
      <c r="D517" t="s">
        <v>175</v>
      </c>
      <c r="E517" t="s">
        <v>198</v>
      </c>
      <c r="F517" t="s">
        <v>218</v>
      </c>
      <c r="G517" t="s">
        <v>169</v>
      </c>
      <c r="H517">
        <v>587</v>
      </c>
      <c r="I517" s="34">
        <f>+POWER_Regional_Daily_20150101_20190305_c11b3312[[#This Row],[Column8]]/100</f>
        <v>5.87</v>
      </c>
      <c r="J517" s="34"/>
    </row>
    <row r="518" spans="1:10" x14ac:dyDescent="0.25">
      <c r="A518" s="34" t="s">
        <v>164</v>
      </c>
      <c r="B518" s="34" t="s">
        <v>165</v>
      </c>
      <c r="C518" t="s">
        <v>253</v>
      </c>
      <c r="D518" t="s">
        <v>175</v>
      </c>
      <c r="E518" t="s">
        <v>199</v>
      </c>
      <c r="F518" t="s">
        <v>246</v>
      </c>
      <c r="G518" t="s">
        <v>169</v>
      </c>
      <c r="H518">
        <v>387</v>
      </c>
      <c r="I518" s="34">
        <f>+POWER_Regional_Daily_20150101_20190305_c11b3312[[#This Row],[Column8]]/100</f>
        <v>3.87</v>
      </c>
      <c r="J518" s="34"/>
    </row>
    <row r="519" spans="1:10" x14ac:dyDescent="0.25">
      <c r="A519" s="34" t="s">
        <v>164</v>
      </c>
      <c r="B519" s="34" t="s">
        <v>165</v>
      </c>
      <c r="C519" t="s">
        <v>253</v>
      </c>
      <c r="D519" t="s">
        <v>175</v>
      </c>
      <c r="E519" t="s">
        <v>200</v>
      </c>
      <c r="F519" t="s">
        <v>183</v>
      </c>
      <c r="G519" t="s">
        <v>169</v>
      </c>
      <c r="H519">
        <v>578</v>
      </c>
      <c r="I519" s="34">
        <f>+POWER_Regional_Daily_20150101_20190305_c11b3312[[#This Row],[Column8]]/100</f>
        <v>5.78</v>
      </c>
      <c r="J519" s="34"/>
    </row>
    <row r="520" spans="1:10" x14ac:dyDescent="0.25">
      <c r="A520" s="34" t="s">
        <v>164</v>
      </c>
      <c r="B520" s="34" t="s">
        <v>165</v>
      </c>
      <c r="C520" t="s">
        <v>253</v>
      </c>
      <c r="D520" t="s">
        <v>175</v>
      </c>
      <c r="E520" t="s">
        <v>202</v>
      </c>
      <c r="F520" t="s">
        <v>222</v>
      </c>
      <c r="G520" t="s">
        <v>169</v>
      </c>
      <c r="H520">
        <v>539</v>
      </c>
      <c r="I520" s="34">
        <f>+POWER_Regional_Daily_20150101_20190305_c11b3312[[#This Row],[Column8]]/100</f>
        <v>5.39</v>
      </c>
      <c r="J520" s="34"/>
    </row>
    <row r="521" spans="1:10" x14ac:dyDescent="0.25">
      <c r="A521" s="34" t="s">
        <v>164</v>
      </c>
      <c r="B521" s="34" t="s">
        <v>165</v>
      </c>
      <c r="C521" t="s">
        <v>253</v>
      </c>
      <c r="D521" t="s">
        <v>175</v>
      </c>
      <c r="E521" t="s">
        <v>203</v>
      </c>
      <c r="F521" t="s">
        <v>187</v>
      </c>
      <c r="G521" t="s">
        <v>169</v>
      </c>
      <c r="H521">
        <v>-999</v>
      </c>
      <c r="I521" s="34">
        <f>+POWER_Regional_Daily_20150101_20190305_c11b3312[[#This Row],[Column8]]/100</f>
        <v>-9.99</v>
      </c>
      <c r="J521" s="34"/>
    </row>
    <row r="522" spans="1:10" x14ac:dyDescent="0.25">
      <c r="A522" s="34" t="s">
        <v>164</v>
      </c>
      <c r="B522" s="34" t="s">
        <v>165</v>
      </c>
      <c r="C522" t="s">
        <v>253</v>
      </c>
      <c r="D522" t="s">
        <v>175</v>
      </c>
      <c r="E522" t="s">
        <v>205</v>
      </c>
      <c r="F522" t="s">
        <v>209</v>
      </c>
      <c r="G522" t="s">
        <v>169</v>
      </c>
      <c r="H522">
        <v>516</v>
      </c>
      <c r="I522" s="34">
        <f>+POWER_Regional_Daily_20150101_20190305_c11b3312[[#This Row],[Column8]]/100</f>
        <v>5.16</v>
      </c>
      <c r="J522" s="34"/>
    </row>
    <row r="523" spans="1:10" x14ac:dyDescent="0.25">
      <c r="A523" s="34" t="s">
        <v>164</v>
      </c>
      <c r="B523" s="34" t="s">
        <v>165</v>
      </c>
      <c r="C523" t="s">
        <v>253</v>
      </c>
      <c r="D523" t="s">
        <v>175</v>
      </c>
      <c r="E523" t="s">
        <v>207</v>
      </c>
      <c r="F523" t="s">
        <v>181</v>
      </c>
      <c r="G523" t="s">
        <v>169</v>
      </c>
      <c r="H523">
        <v>563</v>
      </c>
      <c r="I523" s="34">
        <f>+POWER_Regional_Daily_20150101_20190305_c11b3312[[#This Row],[Column8]]/100</f>
        <v>5.63</v>
      </c>
      <c r="J523" s="34"/>
    </row>
    <row r="524" spans="1:10" x14ac:dyDescent="0.25">
      <c r="A524" s="34" t="s">
        <v>164</v>
      </c>
      <c r="B524" s="34" t="s">
        <v>165</v>
      </c>
      <c r="C524" t="s">
        <v>253</v>
      </c>
      <c r="D524" t="s">
        <v>175</v>
      </c>
      <c r="E524" t="s">
        <v>208</v>
      </c>
      <c r="F524" t="s">
        <v>236</v>
      </c>
      <c r="G524" t="s">
        <v>169</v>
      </c>
      <c r="H524">
        <v>516</v>
      </c>
      <c r="I524" s="34">
        <f>+POWER_Regional_Daily_20150101_20190305_c11b3312[[#This Row],[Column8]]/100</f>
        <v>5.16</v>
      </c>
      <c r="J524" s="34"/>
    </row>
    <row r="525" spans="1:10" x14ac:dyDescent="0.25">
      <c r="A525" s="34" t="s">
        <v>164</v>
      </c>
      <c r="B525" s="34" t="s">
        <v>165</v>
      </c>
      <c r="C525" t="s">
        <v>253</v>
      </c>
      <c r="D525" t="s">
        <v>175</v>
      </c>
      <c r="E525" t="s">
        <v>210</v>
      </c>
      <c r="F525" t="s">
        <v>233</v>
      </c>
      <c r="G525" t="s">
        <v>169</v>
      </c>
      <c r="H525">
        <v>454</v>
      </c>
      <c r="I525" s="34">
        <f>+POWER_Regional_Daily_20150101_20190305_c11b3312[[#This Row],[Column8]]/100</f>
        <v>4.54</v>
      </c>
      <c r="J525" s="34"/>
    </row>
    <row r="526" spans="1:10" x14ac:dyDescent="0.25">
      <c r="A526" s="34" t="s">
        <v>164</v>
      </c>
      <c r="B526" s="34" t="s">
        <v>165</v>
      </c>
      <c r="C526" t="s">
        <v>253</v>
      </c>
      <c r="D526" t="s">
        <v>175</v>
      </c>
      <c r="E526" t="s">
        <v>212</v>
      </c>
      <c r="F526" t="s">
        <v>241</v>
      </c>
      <c r="G526" t="s">
        <v>169</v>
      </c>
      <c r="H526">
        <v>285</v>
      </c>
      <c r="I526" s="34">
        <f>+POWER_Regional_Daily_20150101_20190305_c11b3312[[#This Row],[Column8]]/100</f>
        <v>2.85</v>
      </c>
      <c r="J526" s="34"/>
    </row>
    <row r="527" spans="1:10" x14ac:dyDescent="0.25">
      <c r="A527" s="34" t="s">
        <v>164</v>
      </c>
      <c r="B527" s="34" t="s">
        <v>165</v>
      </c>
      <c r="C527" t="s">
        <v>253</v>
      </c>
      <c r="D527" t="s">
        <v>175</v>
      </c>
      <c r="E527" t="s">
        <v>214</v>
      </c>
      <c r="F527" t="s">
        <v>223</v>
      </c>
      <c r="G527" t="s">
        <v>169</v>
      </c>
      <c r="H527">
        <v>487</v>
      </c>
      <c r="I527" s="34">
        <f>+POWER_Regional_Daily_20150101_20190305_c11b3312[[#This Row],[Column8]]/100</f>
        <v>4.87</v>
      </c>
      <c r="J527" s="34"/>
    </row>
    <row r="528" spans="1:10" x14ac:dyDescent="0.25">
      <c r="A528" s="34" t="s">
        <v>164</v>
      </c>
      <c r="B528" s="34" t="s">
        <v>165</v>
      </c>
      <c r="C528" t="s">
        <v>253</v>
      </c>
      <c r="D528" t="s">
        <v>175</v>
      </c>
      <c r="E528" t="s">
        <v>215</v>
      </c>
      <c r="F528" t="s">
        <v>240</v>
      </c>
      <c r="G528" t="s">
        <v>169</v>
      </c>
      <c r="H528">
        <v>279</v>
      </c>
      <c r="I528" s="34">
        <f>+POWER_Regional_Daily_20150101_20190305_c11b3312[[#This Row],[Column8]]/100</f>
        <v>2.79</v>
      </c>
      <c r="J528" s="34"/>
    </row>
    <row r="529" spans="1:10" x14ac:dyDescent="0.25">
      <c r="A529" s="34" t="s">
        <v>164</v>
      </c>
      <c r="B529" s="34" t="s">
        <v>165</v>
      </c>
      <c r="C529" t="s">
        <v>253</v>
      </c>
      <c r="D529" t="s">
        <v>175</v>
      </c>
      <c r="E529" t="s">
        <v>217</v>
      </c>
      <c r="F529" t="s">
        <v>227</v>
      </c>
      <c r="G529" t="s">
        <v>169</v>
      </c>
      <c r="H529">
        <v>324</v>
      </c>
      <c r="I529" s="34">
        <f>+POWER_Regional_Daily_20150101_20190305_c11b3312[[#This Row],[Column8]]/100</f>
        <v>3.24</v>
      </c>
      <c r="J529" s="34"/>
    </row>
    <row r="530" spans="1:10" x14ac:dyDescent="0.25">
      <c r="A530" s="34" t="s">
        <v>164</v>
      </c>
      <c r="B530" s="34" t="s">
        <v>165</v>
      </c>
      <c r="C530" t="s">
        <v>253</v>
      </c>
      <c r="D530" t="s">
        <v>175</v>
      </c>
      <c r="E530" t="s">
        <v>219</v>
      </c>
      <c r="F530" t="s">
        <v>195</v>
      </c>
      <c r="G530" t="s">
        <v>169</v>
      </c>
      <c r="H530">
        <v>471</v>
      </c>
      <c r="I530" s="34">
        <f>+POWER_Regional_Daily_20150101_20190305_c11b3312[[#This Row],[Column8]]/100</f>
        <v>4.71</v>
      </c>
      <c r="J530" s="34"/>
    </row>
    <row r="531" spans="1:10" x14ac:dyDescent="0.25">
      <c r="A531" s="34" t="s">
        <v>164</v>
      </c>
      <c r="B531" s="34" t="s">
        <v>165</v>
      </c>
      <c r="C531" t="s">
        <v>253</v>
      </c>
      <c r="D531" t="s">
        <v>175</v>
      </c>
      <c r="E531" t="s">
        <v>220</v>
      </c>
      <c r="F531" t="s">
        <v>246</v>
      </c>
      <c r="G531" t="s">
        <v>169</v>
      </c>
      <c r="H531">
        <v>377</v>
      </c>
      <c r="I531" s="34">
        <f>+POWER_Regional_Daily_20150101_20190305_c11b3312[[#This Row],[Column8]]/100</f>
        <v>3.77</v>
      </c>
      <c r="J531" s="34"/>
    </row>
    <row r="532" spans="1:10" x14ac:dyDescent="0.25">
      <c r="A532" s="34" t="s">
        <v>164</v>
      </c>
      <c r="B532" s="34" t="s">
        <v>165</v>
      </c>
      <c r="C532" t="s">
        <v>253</v>
      </c>
      <c r="D532" t="s">
        <v>177</v>
      </c>
      <c r="E532" t="s">
        <v>167</v>
      </c>
      <c r="F532" t="s">
        <v>229</v>
      </c>
      <c r="G532" t="s">
        <v>169</v>
      </c>
      <c r="H532">
        <v>347</v>
      </c>
      <c r="I532" s="34">
        <f>+POWER_Regional_Daily_20150101_20190305_c11b3312[[#This Row],[Column8]]/100</f>
        <v>3.47</v>
      </c>
      <c r="J532" s="34"/>
    </row>
    <row r="533" spans="1:10" x14ac:dyDescent="0.25">
      <c r="A533" s="34" t="s">
        <v>164</v>
      </c>
      <c r="B533" s="34" t="s">
        <v>165</v>
      </c>
      <c r="C533" t="s">
        <v>253</v>
      </c>
      <c r="D533" t="s">
        <v>177</v>
      </c>
      <c r="E533" t="s">
        <v>170</v>
      </c>
      <c r="F533" t="s">
        <v>193</v>
      </c>
      <c r="G533" t="s">
        <v>169</v>
      </c>
      <c r="H533">
        <v>397</v>
      </c>
      <c r="I533" s="34">
        <f>+POWER_Regional_Daily_20150101_20190305_c11b3312[[#This Row],[Column8]]/100</f>
        <v>3.97</v>
      </c>
      <c r="J533" s="34"/>
    </row>
    <row r="534" spans="1:10" x14ac:dyDescent="0.25">
      <c r="A534" s="34" t="s">
        <v>164</v>
      </c>
      <c r="B534" s="34" t="s">
        <v>165</v>
      </c>
      <c r="C534" t="s">
        <v>253</v>
      </c>
      <c r="D534" t="s">
        <v>177</v>
      </c>
      <c r="E534" t="s">
        <v>172</v>
      </c>
      <c r="F534" t="s">
        <v>239</v>
      </c>
      <c r="G534" t="s">
        <v>169</v>
      </c>
      <c r="H534">
        <v>355</v>
      </c>
      <c r="I534" s="34">
        <f>+POWER_Regional_Daily_20150101_20190305_c11b3312[[#This Row],[Column8]]/100</f>
        <v>3.55</v>
      </c>
      <c r="J534" s="34"/>
    </row>
    <row r="535" spans="1:10" x14ac:dyDescent="0.25">
      <c r="A535" s="34" t="s">
        <v>164</v>
      </c>
      <c r="B535" s="34" t="s">
        <v>165</v>
      </c>
      <c r="C535" t="s">
        <v>253</v>
      </c>
      <c r="D535" t="s">
        <v>177</v>
      </c>
      <c r="E535" t="s">
        <v>174</v>
      </c>
      <c r="F535" t="s">
        <v>248</v>
      </c>
      <c r="G535" t="s">
        <v>169</v>
      </c>
      <c r="H535">
        <v>667</v>
      </c>
      <c r="I535" s="34">
        <f>+POWER_Regional_Daily_20150101_20190305_c11b3312[[#This Row],[Column8]]/100</f>
        <v>6.67</v>
      </c>
      <c r="J535" s="34"/>
    </row>
    <row r="536" spans="1:10" x14ac:dyDescent="0.25">
      <c r="A536" s="34" t="s">
        <v>164</v>
      </c>
      <c r="B536" s="34" t="s">
        <v>165</v>
      </c>
      <c r="C536" t="s">
        <v>253</v>
      </c>
      <c r="D536" t="s">
        <v>177</v>
      </c>
      <c r="E536" t="s">
        <v>175</v>
      </c>
      <c r="F536" t="s">
        <v>234</v>
      </c>
      <c r="G536" t="s">
        <v>312</v>
      </c>
      <c r="H536">
        <v>643</v>
      </c>
      <c r="I536" s="34">
        <f>+POWER_Regional_Daily_20150101_20190305_c11b3312[[#This Row],[Column8]]/100</f>
        <v>6.43</v>
      </c>
      <c r="J536" s="34"/>
    </row>
    <row r="537" spans="1:10" x14ac:dyDescent="0.25">
      <c r="A537" s="34" t="s">
        <v>164</v>
      </c>
      <c r="B537" s="34" t="s">
        <v>165</v>
      </c>
      <c r="C537" t="s">
        <v>253</v>
      </c>
      <c r="D537" t="s">
        <v>177</v>
      </c>
      <c r="E537" t="s">
        <v>177</v>
      </c>
      <c r="F537" t="s">
        <v>187</v>
      </c>
      <c r="G537" t="s">
        <v>169</v>
      </c>
      <c r="H537">
        <v>-999</v>
      </c>
      <c r="I537" s="34">
        <f>+POWER_Regional_Daily_20150101_20190305_c11b3312[[#This Row],[Column8]]/100</f>
        <v>-9.99</v>
      </c>
      <c r="J537" s="34"/>
    </row>
    <row r="538" spans="1:10" x14ac:dyDescent="0.25">
      <c r="A538" s="34" t="s">
        <v>164</v>
      </c>
      <c r="B538" s="34" t="s">
        <v>165</v>
      </c>
      <c r="C538" t="s">
        <v>253</v>
      </c>
      <c r="D538" t="s">
        <v>177</v>
      </c>
      <c r="E538" t="s">
        <v>178</v>
      </c>
      <c r="F538" t="s">
        <v>246</v>
      </c>
      <c r="G538" t="s">
        <v>169</v>
      </c>
      <c r="H538">
        <v>375</v>
      </c>
      <c r="I538" s="34">
        <f>+POWER_Regional_Daily_20150101_20190305_c11b3312[[#This Row],[Column8]]/100</f>
        <v>3.75</v>
      </c>
      <c r="J538" s="34"/>
    </row>
    <row r="539" spans="1:10" x14ac:dyDescent="0.25">
      <c r="A539" s="34" t="s">
        <v>164</v>
      </c>
      <c r="B539" s="34" t="s">
        <v>165</v>
      </c>
      <c r="C539" t="s">
        <v>253</v>
      </c>
      <c r="D539" t="s">
        <v>177</v>
      </c>
      <c r="E539" t="s">
        <v>180</v>
      </c>
      <c r="F539" t="s">
        <v>218</v>
      </c>
      <c r="G539" t="s">
        <v>169</v>
      </c>
      <c r="H539">
        <v>576</v>
      </c>
      <c r="I539" s="34">
        <f>+POWER_Regional_Daily_20150101_20190305_c11b3312[[#This Row],[Column8]]/100</f>
        <v>5.76</v>
      </c>
      <c r="J539" s="34"/>
    </row>
    <row r="540" spans="1:10" x14ac:dyDescent="0.25">
      <c r="A540" s="34" t="s">
        <v>164</v>
      </c>
      <c r="B540" s="34" t="s">
        <v>165</v>
      </c>
      <c r="C540" t="s">
        <v>253</v>
      </c>
      <c r="D540" t="s">
        <v>177</v>
      </c>
      <c r="E540" t="s">
        <v>182</v>
      </c>
      <c r="F540" t="s">
        <v>209</v>
      </c>
      <c r="G540" t="s">
        <v>169</v>
      </c>
      <c r="H540">
        <v>505</v>
      </c>
      <c r="I540" s="34">
        <f>+POWER_Regional_Daily_20150101_20190305_c11b3312[[#This Row],[Column8]]/100</f>
        <v>5.05</v>
      </c>
      <c r="J540" s="34"/>
    </row>
    <row r="541" spans="1:10" x14ac:dyDescent="0.25">
      <c r="A541" s="34" t="s">
        <v>164</v>
      </c>
      <c r="B541" s="34" t="s">
        <v>165</v>
      </c>
      <c r="C541" t="s">
        <v>253</v>
      </c>
      <c r="D541" t="s">
        <v>177</v>
      </c>
      <c r="E541" t="s">
        <v>184</v>
      </c>
      <c r="F541" t="s">
        <v>223</v>
      </c>
      <c r="G541" t="s">
        <v>169</v>
      </c>
      <c r="H541">
        <v>481</v>
      </c>
      <c r="I541" s="34">
        <f>+POWER_Regional_Daily_20150101_20190305_c11b3312[[#This Row],[Column8]]/100</f>
        <v>4.8099999999999996</v>
      </c>
      <c r="J541" s="34"/>
    </row>
    <row r="542" spans="1:10" x14ac:dyDescent="0.25">
      <c r="A542" s="34" t="s">
        <v>164</v>
      </c>
      <c r="B542" s="34" t="s">
        <v>165</v>
      </c>
      <c r="C542" t="s">
        <v>253</v>
      </c>
      <c r="D542" t="s">
        <v>177</v>
      </c>
      <c r="E542" t="s">
        <v>186</v>
      </c>
      <c r="F542" t="s">
        <v>181</v>
      </c>
      <c r="G542" t="s">
        <v>169</v>
      </c>
      <c r="H542">
        <v>553</v>
      </c>
      <c r="I542" s="34">
        <f>+POWER_Regional_Daily_20150101_20190305_c11b3312[[#This Row],[Column8]]/100</f>
        <v>5.53</v>
      </c>
      <c r="J542" s="34"/>
    </row>
    <row r="543" spans="1:10" x14ac:dyDescent="0.25">
      <c r="A543" s="34" t="s">
        <v>164</v>
      </c>
      <c r="B543" s="34" t="s">
        <v>165</v>
      </c>
      <c r="C543" t="s">
        <v>253</v>
      </c>
      <c r="D543" t="s">
        <v>177</v>
      </c>
      <c r="E543" t="s">
        <v>188</v>
      </c>
      <c r="F543" t="s">
        <v>238</v>
      </c>
      <c r="G543" t="s">
        <v>169</v>
      </c>
      <c r="H543">
        <v>624</v>
      </c>
      <c r="I543" s="34">
        <f>+POWER_Regional_Daily_20150101_20190305_c11b3312[[#This Row],[Column8]]/100</f>
        <v>6.24</v>
      </c>
      <c r="J543" s="34"/>
    </row>
    <row r="544" spans="1:10" x14ac:dyDescent="0.25">
      <c r="A544" s="34" t="s">
        <v>164</v>
      </c>
      <c r="B544" s="34" t="s">
        <v>165</v>
      </c>
      <c r="C544" t="s">
        <v>253</v>
      </c>
      <c r="D544" t="s">
        <v>177</v>
      </c>
      <c r="E544" t="s">
        <v>190</v>
      </c>
      <c r="F544" t="s">
        <v>183</v>
      </c>
      <c r="G544" t="s">
        <v>169</v>
      </c>
      <c r="H544">
        <v>564</v>
      </c>
      <c r="I544" s="34">
        <f>+POWER_Regional_Daily_20150101_20190305_c11b3312[[#This Row],[Column8]]/100</f>
        <v>5.64</v>
      </c>
      <c r="J544" s="34"/>
    </row>
    <row r="545" spans="1:10" x14ac:dyDescent="0.25">
      <c r="A545" s="34" t="s">
        <v>164</v>
      </c>
      <c r="B545" s="34" t="s">
        <v>165</v>
      </c>
      <c r="C545" t="s">
        <v>253</v>
      </c>
      <c r="D545" t="s">
        <v>177</v>
      </c>
      <c r="E545" t="s">
        <v>192</v>
      </c>
      <c r="F545" t="s">
        <v>227</v>
      </c>
      <c r="G545" t="s">
        <v>169</v>
      </c>
      <c r="H545">
        <v>327</v>
      </c>
      <c r="I545" s="34">
        <f>+POWER_Regional_Daily_20150101_20190305_c11b3312[[#This Row],[Column8]]/100</f>
        <v>3.27</v>
      </c>
      <c r="J545" s="34"/>
    </row>
    <row r="546" spans="1:10" x14ac:dyDescent="0.25">
      <c r="A546" s="34" t="s">
        <v>164</v>
      </c>
      <c r="B546" s="34" t="s">
        <v>165</v>
      </c>
      <c r="C546" t="s">
        <v>253</v>
      </c>
      <c r="D546" t="s">
        <v>177</v>
      </c>
      <c r="E546" t="s">
        <v>194</v>
      </c>
      <c r="F546" t="s">
        <v>236</v>
      </c>
      <c r="G546" t="s">
        <v>169</v>
      </c>
      <c r="H546">
        <v>513</v>
      </c>
      <c r="I546" s="34">
        <f>+POWER_Regional_Daily_20150101_20190305_c11b3312[[#This Row],[Column8]]/100</f>
        <v>5.13</v>
      </c>
      <c r="J546" s="34"/>
    </row>
    <row r="547" spans="1:10" x14ac:dyDescent="0.25">
      <c r="A547" s="34" t="s">
        <v>164</v>
      </c>
      <c r="B547" s="34" t="s">
        <v>165</v>
      </c>
      <c r="C547" t="s">
        <v>253</v>
      </c>
      <c r="D547" t="s">
        <v>177</v>
      </c>
      <c r="E547" t="s">
        <v>196</v>
      </c>
      <c r="F547" t="s">
        <v>168</v>
      </c>
      <c r="G547" t="s">
        <v>169</v>
      </c>
      <c r="H547">
        <v>605</v>
      </c>
      <c r="I547" s="34">
        <f>+POWER_Regional_Daily_20150101_20190305_c11b3312[[#This Row],[Column8]]/100</f>
        <v>6.05</v>
      </c>
      <c r="J547" s="34"/>
    </row>
    <row r="548" spans="1:10" x14ac:dyDescent="0.25">
      <c r="A548" s="34" t="s">
        <v>164</v>
      </c>
      <c r="B548" s="34" t="s">
        <v>165</v>
      </c>
      <c r="C548" t="s">
        <v>253</v>
      </c>
      <c r="D548" t="s">
        <v>177</v>
      </c>
      <c r="E548" t="s">
        <v>198</v>
      </c>
      <c r="F548" t="s">
        <v>218</v>
      </c>
      <c r="G548" t="s">
        <v>169</v>
      </c>
      <c r="H548">
        <v>567</v>
      </c>
      <c r="I548" s="34">
        <f>+POWER_Regional_Daily_20150101_20190305_c11b3312[[#This Row],[Column8]]/100</f>
        <v>5.67</v>
      </c>
      <c r="J548" s="34"/>
    </row>
    <row r="549" spans="1:10" x14ac:dyDescent="0.25">
      <c r="A549" s="34" t="s">
        <v>164</v>
      </c>
      <c r="B549" s="34" t="s">
        <v>165</v>
      </c>
      <c r="C549" t="s">
        <v>253</v>
      </c>
      <c r="D549" t="s">
        <v>177</v>
      </c>
      <c r="E549" t="s">
        <v>199</v>
      </c>
      <c r="F549" t="s">
        <v>218</v>
      </c>
      <c r="G549" t="s">
        <v>169</v>
      </c>
      <c r="H549">
        <v>569</v>
      </c>
      <c r="I549" s="34">
        <f>+POWER_Regional_Daily_20150101_20190305_c11b3312[[#This Row],[Column8]]/100</f>
        <v>5.69</v>
      </c>
      <c r="J549" s="34"/>
    </row>
    <row r="550" spans="1:10" x14ac:dyDescent="0.25">
      <c r="A550" s="34" t="s">
        <v>164</v>
      </c>
      <c r="B550" s="34" t="s">
        <v>165</v>
      </c>
      <c r="C550" t="s">
        <v>253</v>
      </c>
      <c r="D550" t="s">
        <v>177</v>
      </c>
      <c r="E550" t="s">
        <v>200</v>
      </c>
      <c r="F550" t="s">
        <v>230</v>
      </c>
      <c r="G550" t="s">
        <v>169</v>
      </c>
      <c r="H550">
        <v>363</v>
      </c>
      <c r="I550" s="34">
        <f>+POWER_Regional_Daily_20150101_20190305_c11b3312[[#This Row],[Column8]]/100</f>
        <v>3.63</v>
      </c>
      <c r="J550" s="34"/>
    </row>
    <row r="551" spans="1:10" x14ac:dyDescent="0.25">
      <c r="A551" s="34" t="s">
        <v>164</v>
      </c>
      <c r="B551" s="34" t="s">
        <v>165</v>
      </c>
      <c r="C551" t="s">
        <v>253</v>
      </c>
      <c r="D551" t="s">
        <v>177</v>
      </c>
      <c r="E551" t="s">
        <v>202</v>
      </c>
      <c r="F551" t="s">
        <v>204</v>
      </c>
      <c r="G551" t="s">
        <v>169</v>
      </c>
      <c r="H551">
        <v>424</v>
      </c>
      <c r="I551" s="34">
        <f>+POWER_Regional_Daily_20150101_20190305_c11b3312[[#This Row],[Column8]]/100</f>
        <v>4.24</v>
      </c>
      <c r="J551" s="34"/>
    </row>
    <row r="552" spans="1:10" x14ac:dyDescent="0.25">
      <c r="A552" s="34" t="s">
        <v>164</v>
      </c>
      <c r="B552" s="34" t="s">
        <v>165</v>
      </c>
      <c r="C552" t="s">
        <v>253</v>
      </c>
      <c r="D552" t="s">
        <v>177</v>
      </c>
      <c r="E552" t="s">
        <v>203</v>
      </c>
      <c r="F552" t="s">
        <v>209</v>
      </c>
      <c r="G552" t="s">
        <v>169</v>
      </c>
      <c r="H552">
        <v>498</v>
      </c>
      <c r="I552" s="34">
        <f>+POWER_Regional_Daily_20150101_20190305_c11b3312[[#This Row],[Column8]]/100</f>
        <v>4.9800000000000004</v>
      </c>
      <c r="J552" s="34"/>
    </row>
    <row r="553" spans="1:10" x14ac:dyDescent="0.25">
      <c r="A553" s="34" t="s">
        <v>164</v>
      </c>
      <c r="B553" s="34" t="s">
        <v>165</v>
      </c>
      <c r="C553" t="s">
        <v>253</v>
      </c>
      <c r="D553" t="s">
        <v>177</v>
      </c>
      <c r="E553" t="s">
        <v>205</v>
      </c>
      <c r="F553" t="s">
        <v>187</v>
      </c>
      <c r="G553" t="s">
        <v>169</v>
      </c>
      <c r="H553">
        <v>-999</v>
      </c>
      <c r="I553" s="34">
        <f>+POWER_Regional_Daily_20150101_20190305_c11b3312[[#This Row],[Column8]]/100</f>
        <v>-9.99</v>
      </c>
      <c r="J553" s="34"/>
    </row>
    <row r="554" spans="1:10" x14ac:dyDescent="0.25">
      <c r="A554" s="34" t="s">
        <v>164</v>
      </c>
      <c r="B554" s="34" t="s">
        <v>165</v>
      </c>
      <c r="C554" t="s">
        <v>253</v>
      </c>
      <c r="D554" t="s">
        <v>177</v>
      </c>
      <c r="E554" t="s">
        <v>207</v>
      </c>
      <c r="F554" t="s">
        <v>222</v>
      </c>
      <c r="G554" t="s">
        <v>169</v>
      </c>
      <c r="H554">
        <v>533</v>
      </c>
      <c r="I554" s="34">
        <f>+POWER_Regional_Daily_20150101_20190305_c11b3312[[#This Row],[Column8]]/100</f>
        <v>5.33</v>
      </c>
      <c r="J554" s="34"/>
    </row>
    <row r="555" spans="1:10" x14ac:dyDescent="0.25">
      <c r="A555" s="34" t="s">
        <v>164</v>
      </c>
      <c r="B555" s="34" t="s">
        <v>165</v>
      </c>
      <c r="C555" t="s">
        <v>253</v>
      </c>
      <c r="D555" t="s">
        <v>177</v>
      </c>
      <c r="E555" t="s">
        <v>208</v>
      </c>
      <c r="F555" t="s">
        <v>197</v>
      </c>
      <c r="G555" t="s">
        <v>169</v>
      </c>
      <c r="H555">
        <v>433</v>
      </c>
      <c r="I555" s="34">
        <f>+POWER_Regional_Daily_20150101_20190305_c11b3312[[#This Row],[Column8]]/100</f>
        <v>4.33</v>
      </c>
      <c r="J555" s="34"/>
    </row>
    <row r="556" spans="1:10" x14ac:dyDescent="0.25">
      <c r="A556" s="34" t="s">
        <v>164</v>
      </c>
      <c r="B556" s="34" t="s">
        <v>165</v>
      </c>
      <c r="C556" t="s">
        <v>253</v>
      </c>
      <c r="D556" t="s">
        <v>177</v>
      </c>
      <c r="E556" t="s">
        <v>210</v>
      </c>
      <c r="F556" t="s">
        <v>231</v>
      </c>
      <c r="G556" t="s">
        <v>169</v>
      </c>
      <c r="H556">
        <v>471</v>
      </c>
      <c r="I556" s="34">
        <f>+POWER_Regional_Daily_20150101_20190305_c11b3312[[#This Row],[Column8]]/100</f>
        <v>4.71</v>
      </c>
      <c r="J556" s="34"/>
    </row>
    <row r="557" spans="1:10" x14ac:dyDescent="0.25">
      <c r="A557" s="34" t="s">
        <v>164</v>
      </c>
      <c r="B557" s="34" t="s">
        <v>165</v>
      </c>
      <c r="C557" t="s">
        <v>253</v>
      </c>
      <c r="D557" t="s">
        <v>177</v>
      </c>
      <c r="E557" t="s">
        <v>212</v>
      </c>
      <c r="F557" t="s">
        <v>236</v>
      </c>
      <c r="G557" t="s">
        <v>169</v>
      </c>
      <c r="H557">
        <v>515</v>
      </c>
      <c r="I557" s="34">
        <f>+POWER_Regional_Daily_20150101_20190305_c11b3312[[#This Row],[Column8]]/100</f>
        <v>5.15</v>
      </c>
      <c r="J557" s="34"/>
    </row>
    <row r="558" spans="1:10" x14ac:dyDescent="0.25">
      <c r="A558" s="34" t="s">
        <v>164</v>
      </c>
      <c r="B558" s="34" t="s">
        <v>165</v>
      </c>
      <c r="C558" t="s">
        <v>253</v>
      </c>
      <c r="D558" t="s">
        <v>177</v>
      </c>
      <c r="E558" t="s">
        <v>214</v>
      </c>
      <c r="F558" t="s">
        <v>250</v>
      </c>
      <c r="G558" t="s">
        <v>169</v>
      </c>
      <c r="H558">
        <v>632</v>
      </c>
      <c r="I558" s="34">
        <f>+POWER_Regional_Daily_20150101_20190305_c11b3312[[#This Row],[Column8]]/100</f>
        <v>6.32</v>
      </c>
      <c r="J558" s="34"/>
    </row>
    <row r="559" spans="1:10" x14ac:dyDescent="0.25">
      <c r="A559" s="34" t="s">
        <v>164</v>
      </c>
      <c r="B559" s="34" t="s">
        <v>165</v>
      </c>
      <c r="C559" t="s">
        <v>253</v>
      </c>
      <c r="D559" t="s">
        <v>177</v>
      </c>
      <c r="E559" t="s">
        <v>215</v>
      </c>
      <c r="F559" t="s">
        <v>218</v>
      </c>
      <c r="G559" t="s">
        <v>169</v>
      </c>
      <c r="H559">
        <v>567</v>
      </c>
      <c r="I559" s="34">
        <f>+POWER_Regional_Daily_20150101_20190305_c11b3312[[#This Row],[Column8]]/100</f>
        <v>5.67</v>
      </c>
      <c r="J559" s="34"/>
    </row>
    <row r="560" spans="1:10" x14ac:dyDescent="0.25">
      <c r="A560" s="34" t="s">
        <v>164</v>
      </c>
      <c r="B560" s="34" t="s">
        <v>165</v>
      </c>
      <c r="C560" t="s">
        <v>253</v>
      </c>
      <c r="D560" t="s">
        <v>177</v>
      </c>
      <c r="E560" t="s">
        <v>217</v>
      </c>
      <c r="F560" t="s">
        <v>218</v>
      </c>
      <c r="G560" t="s">
        <v>169</v>
      </c>
      <c r="H560">
        <v>573</v>
      </c>
      <c r="I560" s="34">
        <f>+POWER_Regional_Daily_20150101_20190305_c11b3312[[#This Row],[Column8]]/100</f>
        <v>5.73</v>
      </c>
      <c r="J560" s="34"/>
    </row>
    <row r="561" spans="1:10" x14ac:dyDescent="0.25">
      <c r="A561" s="34" t="s">
        <v>164</v>
      </c>
      <c r="B561" s="34" t="s">
        <v>165</v>
      </c>
      <c r="C561" t="s">
        <v>253</v>
      </c>
      <c r="D561" t="s">
        <v>177</v>
      </c>
      <c r="E561" t="s">
        <v>219</v>
      </c>
      <c r="F561" t="s">
        <v>204</v>
      </c>
      <c r="G561" t="s">
        <v>169</v>
      </c>
      <c r="H561">
        <v>420</v>
      </c>
      <c r="I561" s="34">
        <f>+POWER_Regional_Daily_20150101_20190305_c11b3312[[#This Row],[Column8]]/100</f>
        <v>4.2</v>
      </c>
      <c r="J561" s="34"/>
    </row>
    <row r="562" spans="1:10" x14ac:dyDescent="0.25">
      <c r="A562" s="34" t="s">
        <v>164</v>
      </c>
      <c r="B562" s="34" t="s">
        <v>165</v>
      </c>
      <c r="C562" t="s">
        <v>253</v>
      </c>
      <c r="D562" t="s">
        <v>178</v>
      </c>
      <c r="E562" t="s">
        <v>167</v>
      </c>
      <c r="F562" t="s">
        <v>240</v>
      </c>
      <c r="G562" t="s">
        <v>169</v>
      </c>
      <c r="H562">
        <v>272</v>
      </c>
      <c r="I562" s="34">
        <f>+POWER_Regional_Daily_20150101_20190305_c11b3312[[#This Row],[Column8]]/100</f>
        <v>2.72</v>
      </c>
      <c r="J562" s="34"/>
    </row>
    <row r="563" spans="1:10" x14ac:dyDescent="0.25">
      <c r="A563" s="34" t="s">
        <v>164</v>
      </c>
      <c r="B563" s="34" t="s">
        <v>165</v>
      </c>
      <c r="C563" t="s">
        <v>253</v>
      </c>
      <c r="D563" t="s">
        <v>178</v>
      </c>
      <c r="E563" t="s">
        <v>170</v>
      </c>
      <c r="F563" t="s">
        <v>246</v>
      </c>
      <c r="G563" t="s">
        <v>169</v>
      </c>
      <c r="H563">
        <v>377</v>
      </c>
      <c r="I563" s="34">
        <f>+POWER_Regional_Daily_20150101_20190305_c11b3312[[#This Row],[Column8]]/100</f>
        <v>3.77</v>
      </c>
      <c r="J563" s="34"/>
    </row>
    <row r="564" spans="1:10" x14ac:dyDescent="0.25">
      <c r="A564" s="34" t="s">
        <v>164</v>
      </c>
      <c r="B564" s="34" t="s">
        <v>165</v>
      </c>
      <c r="C564" t="s">
        <v>253</v>
      </c>
      <c r="D564" t="s">
        <v>178</v>
      </c>
      <c r="E564" t="s">
        <v>172</v>
      </c>
      <c r="F564" t="s">
        <v>211</v>
      </c>
      <c r="G564" t="s">
        <v>169</v>
      </c>
      <c r="H564">
        <v>409</v>
      </c>
      <c r="I564" s="34">
        <f>+POWER_Regional_Daily_20150101_20190305_c11b3312[[#This Row],[Column8]]/100</f>
        <v>4.09</v>
      </c>
      <c r="J564" s="34"/>
    </row>
    <row r="565" spans="1:10" x14ac:dyDescent="0.25">
      <c r="A565" s="34" t="s">
        <v>164</v>
      </c>
      <c r="B565" s="34" t="s">
        <v>165</v>
      </c>
      <c r="C565" t="s">
        <v>253</v>
      </c>
      <c r="D565" t="s">
        <v>178</v>
      </c>
      <c r="E565" t="s">
        <v>174</v>
      </c>
      <c r="F565" t="s">
        <v>223</v>
      </c>
      <c r="G565" t="s">
        <v>169</v>
      </c>
      <c r="H565">
        <v>480</v>
      </c>
      <c r="I565" s="34">
        <f>+POWER_Regional_Daily_20150101_20190305_c11b3312[[#This Row],[Column8]]/100</f>
        <v>4.8</v>
      </c>
      <c r="J565" s="34"/>
    </row>
    <row r="566" spans="1:10" x14ac:dyDescent="0.25">
      <c r="A566" s="34" t="s">
        <v>164</v>
      </c>
      <c r="B566" s="34" t="s">
        <v>165</v>
      </c>
      <c r="C566" t="s">
        <v>253</v>
      </c>
      <c r="D566" t="s">
        <v>178</v>
      </c>
      <c r="E566" t="s">
        <v>175</v>
      </c>
      <c r="F566" t="s">
        <v>221</v>
      </c>
      <c r="G566" t="s">
        <v>169</v>
      </c>
      <c r="H566">
        <v>405</v>
      </c>
      <c r="I566" s="34">
        <f>+POWER_Regional_Daily_20150101_20190305_c11b3312[[#This Row],[Column8]]/100</f>
        <v>4.05</v>
      </c>
      <c r="J566" s="34"/>
    </row>
    <row r="567" spans="1:10" x14ac:dyDescent="0.25">
      <c r="A567" s="34" t="s">
        <v>164</v>
      </c>
      <c r="B567" s="34" t="s">
        <v>165</v>
      </c>
      <c r="C567" t="s">
        <v>253</v>
      </c>
      <c r="D567" t="s">
        <v>178</v>
      </c>
      <c r="E567" t="s">
        <v>177</v>
      </c>
      <c r="F567" t="s">
        <v>218</v>
      </c>
      <c r="G567" t="s">
        <v>169</v>
      </c>
      <c r="H567">
        <v>567</v>
      </c>
      <c r="I567" s="34">
        <f>+POWER_Regional_Daily_20150101_20190305_c11b3312[[#This Row],[Column8]]/100</f>
        <v>5.67</v>
      </c>
      <c r="J567" s="34"/>
    </row>
    <row r="568" spans="1:10" x14ac:dyDescent="0.25">
      <c r="A568" s="34" t="s">
        <v>164</v>
      </c>
      <c r="B568" s="34" t="s">
        <v>165</v>
      </c>
      <c r="C568" t="s">
        <v>253</v>
      </c>
      <c r="D568" t="s">
        <v>178</v>
      </c>
      <c r="E568" t="s">
        <v>178</v>
      </c>
      <c r="F568" t="s">
        <v>183</v>
      </c>
      <c r="G568" t="s">
        <v>169</v>
      </c>
      <c r="H568">
        <v>557</v>
      </c>
      <c r="I568" s="34">
        <f>+POWER_Regional_Daily_20150101_20190305_c11b3312[[#This Row],[Column8]]/100</f>
        <v>5.57</v>
      </c>
      <c r="J568" s="34"/>
    </row>
    <row r="569" spans="1:10" x14ac:dyDescent="0.25">
      <c r="A569" s="34" t="s">
        <v>164</v>
      </c>
      <c r="B569" s="34" t="s">
        <v>165</v>
      </c>
      <c r="C569" t="s">
        <v>253</v>
      </c>
      <c r="D569" t="s">
        <v>178</v>
      </c>
      <c r="E569" t="s">
        <v>180</v>
      </c>
      <c r="F569" t="s">
        <v>187</v>
      </c>
      <c r="G569" t="s">
        <v>169</v>
      </c>
      <c r="H569">
        <v>-999</v>
      </c>
      <c r="I569" s="34">
        <f>+POWER_Regional_Daily_20150101_20190305_c11b3312[[#This Row],[Column8]]/100</f>
        <v>-9.99</v>
      </c>
      <c r="J569" s="34"/>
    </row>
    <row r="570" spans="1:10" x14ac:dyDescent="0.25">
      <c r="A570" s="34" t="s">
        <v>164</v>
      </c>
      <c r="B570" s="34" t="s">
        <v>165</v>
      </c>
      <c r="C570" t="s">
        <v>253</v>
      </c>
      <c r="D570" t="s">
        <v>178</v>
      </c>
      <c r="E570" t="s">
        <v>182</v>
      </c>
      <c r="F570" t="s">
        <v>173</v>
      </c>
      <c r="G570" t="s">
        <v>249</v>
      </c>
      <c r="H570">
        <v>687</v>
      </c>
      <c r="I570" s="34">
        <f>+POWER_Regional_Daily_20150101_20190305_c11b3312[[#This Row],[Column8]]/100</f>
        <v>6.87</v>
      </c>
      <c r="J570" s="34"/>
    </row>
    <row r="571" spans="1:10" x14ac:dyDescent="0.25">
      <c r="A571" s="34" t="s">
        <v>164</v>
      </c>
      <c r="B571" s="34" t="s">
        <v>165</v>
      </c>
      <c r="C571" t="s">
        <v>253</v>
      </c>
      <c r="D571" t="s">
        <v>178</v>
      </c>
      <c r="E571" t="s">
        <v>184</v>
      </c>
      <c r="F571" t="s">
        <v>181</v>
      </c>
      <c r="G571" t="s">
        <v>169</v>
      </c>
      <c r="H571">
        <v>557</v>
      </c>
      <c r="I571" s="34">
        <f>+POWER_Regional_Daily_20150101_20190305_c11b3312[[#This Row],[Column8]]/100</f>
        <v>5.57</v>
      </c>
      <c r="J571" s="34"/>
    </row>
    <row r="572" spans="1:10" x14ac:dyDescent="0.25">
      <c r="A572" s="34" t="s">
        <v>164</v>
      </c>
      <c r="B572" s="34" t="s">
        <v>165</v>
      </c>
      <c r="C572" t="s">
        <v>253</v>
      </c>
      <c r="D572" t="s">
        <v>178</v>
      </c>
      <c r="E572" t="s">
        <v>186</v>
      </c>
      <c r="F572" t="s">
        <v>181</v>
      </c>
      <c r="G572" t="s">
        <v>169</v>
      </c>
      <c r="H572">
        <v>553</v>
      </c>
      <c r="I572" s="34">
        <f>+POWER_Regional_Daily_20150101_20190305_c11b3312[[#This Row],[Column8]]/100</f>
        <v>5.53</v>
      </c>
      <c r="J572" s="34"/>
    </row>
    <row r="573" spans="1:10" x14ac:dyDescent="0.25">
      <c r="A573" s="34" t="s">
        <v>164</v>
      </c>
      <c r="B573" s="34" t="s">
        <v>165</v>
      </c>
      <c r="C573" t="s">
        <v>253</v>
      </c>
      <c r="D573" t="s">
        <v>178</v>
      </c>
      <c r="E573" t="s">
        <v>188</v>
      </c>
      <c r="F573" t="s">
        <v>204</v>
      </c>
      <c r="G573" t="s">
        <v>169</v>
      </c>
      <c r="H573">
        <v>425</v>
      </c>
      <c r="I573" s="34">
        <f>+POWER_Regional_Daily_20150101_20190305_c11b3312[[#This Row],[Column8]]/100</f>
        <v>4.25</v>
      </c>
      <c r="J573" s="34"/>
    </row>
    <row r="574" spans="1:10" x14ac:dyDescent="0.25">
      <c r="A574" s="34" t="s">
        <v>164</v>
      </c>
      <c r="B574" s="34" t="s">
        <v>165</v>
      </c>
      <c r="C574" t="s">
        <v>253</v>
      </c>
      <c r="D574" t="s">
        <v>178</v>
      </c>
      <c r="E574" t="s">
        <v>190</v>
      </c>
      <c r="F574" t="s">
        <v>224</v>
      </c>
      <c r="G574" t="s">
        <v>169</v>
      </c>
      <c r="H574">
        <v>449</v>
      </c>
      <c r="I574" s="34">
        <f>+POWER_Regional_Daily_20150101_20190305_c11b3312[[#This Row],[Column8]]/100</f>
        <v>4.49</v>
      </c>
      <c r="J574" s="34"/>
    </row>
    <row r="575" spans="1:10" x14ac:dyDescent="0.25">
      <c r="A575" s="34" t="s">
        <v>164</v>
      </c>
      <c r="B575" s="34" t="s">
        <v>165</v>
      </c>
      <c r="C575" t="s">
        <v>253</v>
      </c>
      <c r="D575" t="s">
        <v>178</v>
      </c>
      <c r="E575" t="s">
        <v>192</v>
      </c>
      <c r="F575" t="s">
        <v>236</v>
      </c>
      <c r="G575" t="s">
        <v>169</v>
      </c>
      <c r="H575">
        <v>514</v>
      </c>
      <c r="I575" s="34">
        <f>+POWER_Regional_Daily_20150101_20190305_c11b3312[[#This Row],[Column8]]/100</f>
        <v>5.14</v>
      </c>
      <c r="J575" s="34"/>
    </row>
    <row r="576" spans="1:10" x14ac:dyDescent="0.25">
      <c r="A576" s="34" t="s">
        <v>164</v>
      </c>
      <c r="B576" s="34" t="s">
        <v>165</v>
      </c>
      <c r="C576" t="s">
        <v>253</v>
      </c>
      <c r="D576" t="s">
        <v>178</v>
      </c>
      <c r="E576" t="s">
        <v>194</v>
      </c>
      <c r="F576" t="s">
        <v>223</v>
      </c>
      <c r="G576" t="s">
        <v>169</v>
      </c>
      <c r="H576">
        <v>486</v>
      </c>
      <c r="I576" s="34">
        <f>+POWER_Regional_Daily_20150101_20190305_c11b3312[[#This Row],[Column8]]/100</f>
        <v>4.8600000000000003</v>
      </c>
      <c r="J576" s="34"/>
    </row>
    <row r="577" spans="1:10" x14ac:dyDescent="0.25">
      <c r="A577" s="34" t="s">
        <v>164</v>
      </c>
      <c r="B577" s="34" t="s">
        <v>165</v>
      </c>
      <c r="C577" t="s">
        <v>253</v>
      </c>
      <c r="D577" t="s">
        <v>178</v>
      </c>
      <c r="E577" t="s">
        <v>196</v>
      </c>
      <c r="F577" t="s">
        <v>221</v>
      </c>
      <c r="G577" t="s">
        <v>169</v>
      </c>
      <c r="H577">
        <v>402</v>
      </c>
      <c r="I577" s="34">
        <f>+POWER_Regional_Daily_20150101_20190305_c11b3312[[#This Row],[Column8]]/100</f>
        <v>4.0199999999999996</v>
      </c>
      <c r="J577" s="34"/>
    </row>
    <row r="578" spans="1:10" x14ac:dyDescent="0.25">
      <c r="A578" s="34" t="s">
        <v>164</v>
      </c>
      <c r="B578" s="34" t="s">
        <v>165</v>
      </c>
      <c r="C578" t="s">
        <v>253</v>
      </c>
      <c r="D578" t="s">
        <v>178</v>
      </c>
      <c r="E578" t="s">
        <v>198</v>
      </c>
      <c r="F578" t="s">
        <v>204</v>
      </c>
      <c r="G578" t="s">
        <v>169</v>
      </c>
      <c r="H578">
        <v>430</v>
      </c>
      <c r="I578" s="34">
        <f>+POWER_Regional_Daily_20150101_20190305_c11b3312[[#This Row],[Column8]]/100</f>
        <v>4.3</v>
      </c>
      <c r="J578" s="34"/>
    </row>
    <row r="579" spans="1:10" x14ac:dyDescent="0.25">
      <c r="A579" s="34" t="s">
        <v>164</v>
      </c>
      <c r="B579" s="34" t="s">
        <v>165</v>
      </c>
      <c r="C579" t="s">
        <v>253</v>
      </c>
      <c r="D579" t="s">
        <v>178</v>
      </c>
      <c r="E579" t="s">
        <v>199</v>
      </c>
      <c r="F579" t="s">
        <v>223</v>
      </c>
      <c r="G579" t="s">
        <v>169</v>
      </c>
      <c r="H579">
        <v>484</v>
      </c>
      <c r="I579" s="34">
        <f>+POWER_Regional_Daily_20150101_20190305_c11b3312[[#This Row],[Column8]]/100</f>
        <v>4.84</v>
      </c>
      <c r="J579" s="34"/>
    </row>
    <row r="580" spans="1:10" x14ac:dyDescent="0.25">
      <c r="A580" s="34" t="s">
        <v>164</v>
      </c>
      <c r="B580" s="34" t="s">
        <v>165</v>
      </c>
      <c r="C580" t="s">
        <v>253</v>
      </c>
      <c r="D580" t="s">
        <v>178</v>
      </c>
      <c r="E580" t="s">
        <v>200</v>
      </c>
      <c r="F580" t="s">
        <v>201</v>
      </c>
      <c r="G580" t="s">
        <v>169</v>
      </c>
      <c r="H580">
        <v>525</v>
      </c>
      <c r="I580" s="34">
        <f>+POWER_Regional_Daily_20150101_20190305_c11b3312[[#This Row],[Column8]]/100</f>
        <v>5.25</v>
      </c>
      <c r="J580" s="34"/>
    </row>
    <row r="581" spans="1:10" x14ac:dyDescent="0.25">
      <c r="A581" s="34" t="s">
        <v>164</v>
      </c>
      <c r="B581" s="34" t="s">
        <v>165</v>
      </c>
      <c r="C581" t="s">
        <v>253</v>
      </c>
      <c r="D581" t="s">
        <v>178</v>
      </c>
      <c r="E581" t="s">
        <v>202</v>
      </c>
      <c r="F581" t="s">
        <v>201</v>
      </c>
      <c r="G581" t="s">
        <v>169</v>
      </c>
      <c r="H581">
        <v>529</v>
      </c>
      <c r="I581" s="34">
        <f>+POWER_Regional_Daily_20150101_20190305_c11b3312[[#This Row],[Column8]]/100</f>
        <v>5.29</v>
      </c>
      <c r="J581" s="34"/>
    </row>
    <row r="582" spans="1:10" x14ac:dyDescent="0.25">
      <c r="A582" s="34" t="s">
        <v>164</v>
      </c>
      <c r="B582" s="34" t="s">
        <v>165</v>
      </c>
      <c r="C582" t="s">
        <v>253</v>
      </c>
      <c r="D582" t="s">
        <v>178</v>
      </c>
      <c r="E582" t="s">
        <v>203</v>
      </c>
      <c r="F582" t="s">
        <v>195</v>
      </c>
      <c r="G582" t="s">
        <v>169</v>
      </c>
      <c r="H582">
        <v>471</v>
      </c>
      <c r="I582" s="34">
        <f>+POWER_Regional_Daily_20150101_20190305_c11b3312[[#This Row],[Column8]]/100</f>
        <v>4.71</v>
      </c>
      <c r="J582" s="34"/>
    </row>
    <row r="583" spans="1:10" x14ac:dyDescent="0.25">
      <c r="A583" s="34" t="s">
        <v>164</v>
      </c>
      <c r="B583" s="34" t="s">
        <v>165</v>
      </c>
      <c r="C583" t="s">
        <v>253</v>
      </c>
      <c r="D583" t="s">
        <v>178</v>
      </c>
      <c r="E583" t="s">
        <v>205</v>
      </c>
      <c r="F583" t="s">
        <v>222</v>
      </c>
      <c r="G583" t="s">
        <v>169</v>
      </c>
      <c r="H583">
        <v>533</v>
      </c>
      <c r="I583" s="34">
        <f>+POWER_Regional_Daily_20150101_20190305_c11b3312[[#This Row],[Column8]]/100</f>
        <v>5.33</v>
      </c>
      <c r="J583" s="34"/>
    </row>
    <row r="584" spans="1:10" x14ac:dyDescent="0.25">
      <c r="A584" s="34" t="s">
        <v>164</v>
      </c>
      <c r="B584" s="34" t="s">
        <v>165</v>
      </c>
      <c r="C584" t="s">
        <v>253</v>
      </c>
      <c r="D584" t="s">
        <v>178</v>
      </c>
      <c r="E584" t="s">
        <v>207</v>
      </c>
      <c r="F584" t="s">
        <v>224</v>
      </c>
      <c r="G584" t="s">
        <v>169</v>
      </c>
      <c r="H584">
        <v>448</v>
      </c>
      <c r="I584" s="34">
        <f>+POWER_Regional_Daily_20150101_20190305_c11b3312[[#This Row],[Column8]]/100</f>
        <v>4.4800000000000004</v>
      </c>
      <c r="J584" s="34"/>
    </row>
    <row r="585" spans="1:10" x14ac:dyDescent="0.25">
      <c r="A585" s="34" t="s">
        <v>164</v>
      </c>
      <c r="B585" s="34" t="s">
        <v>165</v>
      </c>
      <c r="C585" t="s">
        <v>253</v>
      </c>
      <c r="D585" t="s">
        <v>178</v>
      </c>
      <c r="E585" t="s">
        <v>208</v>
      </c>
      <c r="F585" t="s">
        <v>187</v>
      </c>
      <c r="G585" t="s">
        <v>169</v>
      </c>
      <c r="H585">
        <v>-999</v>
      </c>
      <c r="I585" s="34">
        <f>+POWER_Regional_Daily_20150101_20190305_c11b3312[[#This Row],[Column8]]/100</f>
        <v>-9.99</v>
      </c>
      <c r="J585" s="34"/>
    </row>
    <row r="586" spans="1:10" x14ac:dyDescent="0.25">
      <c r="A586" s="34" t="s">
        <v>164</v>
      </c>
      <c r="B586" s="34" t="s">
        <v>165</v>
      </c>
      <c r="C586" t="s">
        <v>253</v>
      </c>
      <c r="D586" t="s">
        <v>178</v>
      </c>
      <c r="E586" t="s">
        <v>210</v>
      </c>
      <c r="F586" t="s">
        <v>185</v>
      </c>
      <c r="G586" t="s">
        <v>169</v>
      </c>
      <c r="H586">
        <v>608</v>
      </c>
      <c r="I586" s="34">
        <f>+POWER_Regional_Daily_20150101_20190305_c11b3312[[#This Row],[Column8]]/100</f>
        <v>6.08</v>
      </c>
      <c r="J586" s="34"/>
    </row>
    <row r="587" spans="1:10" x14ac:dyDescent="0.25">
      <c r="A587" s="34" t="s">
        <v>164</v>
      </c>
      <c r="B587" s="34" t="s">
        <v>165</v>
      </c>
      <c r="C587" t="s">
        <v>253</v>
      </c>
      <c r="D587" t="s">
        <v>178</v>
      </c>
      <c r="E587" t="s">
        <v>212</v>
      </c>
      <c r="F587" t="s">
        <v>218</v>
      </c>
      <c r="G587" t="s">
        <v>169</v>
      </c>
      <c r="H587">
        <v>577</v>
      </c>
      <c r="I587" s="34">
        <f>+POWER_Regional_Daily_20150101_20190305_c11b3312[[#This Row],[Column8]]/100</f>
        <v>5.77</v>
      </c>
      <c r="J587" s="34"/>
    </row>
    <row r="588" spans="1:10" x14ac:dyDescent="0.25">
      <c r="A588" s="34" t="s">
        <v>164</v>
      </c>
      <c r="B588" s="34" t="s">
        <v>165</v>
      </c>
      <c r="C588" t="s">
        <v>253</v>
      </c>
      <c r="D588" t="s">
        <v>178</v>
      </c>
      <c r="E588" t="s">
        <v>214</v>
      </c>
      <c r="F588" t="s">
        <v>209</v>
      </c>
      <c r="G588" t="s">
        <v>169</v>
      </c>
      <c r="H588">
        <v>512</v>
      </c>
      <c r="I588" s="34">
        <f>+POWER_Regional_Daily_20150101_20190305_c11b3312[[#This Row],[Column8]]/100</f>
        <v>5.12</v>
      </c>
      <c r="J588" s="34"/>
    </row>
    <row r="589" spans="1:10" x14ac:dyDescent="0.25">
      <c r="A589" s="34" t="s">
        <v>164</v>
      </c>
      <c r="B589" s="34" t="s">
        <v>165</v>
      </c>
      <c r="C589" t="s">
        <v>253</v>
      </c>
      <c r="D589" t="s">
        <v>178</v>
      </c>
      <c r="E589" t="s">
        <v>215</v>
      </c>
      <c r="F589" t="s">
        <v>248</v>
      </c>
      <c r="G589" t="s">
        <v>169</v>
      </c>
      <c r="H589">
        <v>668</v>
      </c>
      <c r="I589" s="34">
        <f>+POWER_Regional_Daily_20150101_20190305_c11b3312[[#This Row],[Column8]]/100</f>
        <v>6.68</v>
      </c>
      <c r="J589" s="34"/>
    </row>
    <row r="590" spans="1:10" x14ac:dyDescent="0.25">
      <c r="A590" s="34" t="s">
        <v>164</v>
      </c>
      <c r="B590" s="34" t="s">
        <v>165</v>
      </c>
      <c r="C590" t="s">
        <v>253</v>
      </c>
      <c r="D590" t="s">
        <v>178</v>
      </c>
      <c r="E590" t="s">
        <v>217</v>
      </c>
      <c r="F590" t="s">
        <v>209</v>
      </c>
      <c r="G590" t="s">
        <v>169</v>
      </c>
      <c r="H590">
        <v>507</v>
      </c>
      <c r="I590" s="34">
        <f>+POWER_Regional_Daily_20150101_20190305_c11b3312[[#This Row],[Column8]]/100</f>
        <v>5.07</v>
      </c>
      <c r="J590" s="34"/>
    </row>
    <row r="591" spans="1:10" x14ac:dyDescent="0.25">
      <c r="A591" s="34" t="s">
        <v>164</v>
      </c>
      <c r="B591" s="34" t="s">
        <v>165</v>
      </c>
      <c r="C591" t="s">
        <v>253</v>
      </c>
      <c r="D591" t="s">
        <v>178</v>
      </c>
      <c r="E591" t="s">
        <v>219</v>
      </c>
      <c r="F591" t="s">
        <v>233</v>
      </c>
      <c r="G591" t="s">
        <v>169</v>
      </c>
      <c r="H591">
        <v>461</v>
      </c>
      <c r="I591" s="34">
        <f>+POWER_Regional_Daily_20150101_20190305_c11b3312[[#This Row],[Column8]]/100</f>
        <v>4.6100000000000003</v>
      </c>
      <c r="J591" s="34"/>
    </row>
    <row r="592" spans="1:10" x14ac:dyDescent="0.25">
      <c r="A592" s="34" t="s">
        <v>164</v>
      </c>
      <c r="B592" s="34" t="s">
        <v>165</v>
      </c>
      <c r="C592" t="s">
        <v>253</v>
      </c>
      <c r="D592" t="s">
        <v>178</v>
      </c>
      <c r="E592" t="s">
        <v>220</v>
      </c>
      <c r="F592" t="s">
        <v>183</v>
      </c>
      <c r="G592" t="s">
        <v>169</v>
      </c>
      <c r="H592">
        <v>571</v>
      </c>
      <c r="I592" s="34">
        <f>+POWER_Regional_Daily_20150101_20190305_c11b3312[[#This Row],[Column8]]/100</f>
        <v>5.71</v>
      </c>
      <c r="J592" s="34"/>
    </row>
    <row r="593" spans="1:10" x14ac:dyDescent="0.25">
      <c r="A593" s="34" t="s">
        <v>164</v>
      </c>
      <c r="B593" s="34" t="s">
        <v>165</v>
      </c>
      <c r="C593" t="s">
        <v>253</v>
      </c>
      <c r="D593" t="s">
        <v>180</v>
      </c>
      <c r="E593" t="s">
        <v>167</v>
      </c>
      <c r="F593" t="s">
        <v>189</v>
      </c>
      <c r="G593" t="s">
        <v>313</v>
      </c>
      <c r="H593">
        <v>594</v>
      </c>
      <c r="I593" s="34">
        <f>+POWER_Regional_Daily_20150101_20190305_c11b3312[[#This Row],[Column8]]/100</f>
        <v>5.94</v>
      </c>
      <c r="J593" s="34"/>
    </row>
    <row r="594" spans="1:10" x14ac:dyDescent="0.25">
      <c r="A594" s="34" t="s">
        <v>164</v>
      </c>
      <c r="B594" s="34" t="s">
        <v>165</v>
      </c>
      <c r="C594" t="s">
        <v>253</v>
      </c>
      <c r="D594" t="s">
        <v>180</v>
      </c>
      <c r="E594" t="s">
        <v>170</v>
      </c>
      <c r="F594" t="s">
        <v>221</v>
      </c>
      <c r="G594" t="s">
        <v>169</v>
      </c>
      <c r="H594">
        <v>414</v>
      </c>
      <c r="I594" s="34">
        <f>+POWER_Regional_Daily_20150101_20190305_c11b3312[[#This Row],[Column8]]/100</f>
        <v>4.1399999999999997</v>
      </c>
      <c r="J594" s="34"/>
    </row>
    <row r="595" spans="1:10" x14ac:dyDescent="0.25">
      <c r="A595" s="34" t="s">
        <v>164</v>
      </c>
      <c r="B595" s="34" t="s">
        <v>165</v>
      </c>
      <c r="C595" t="s">
        <v>253</v>
      </c>
      <c r="D595" t="s">
        <v>180</v>
      </c>
      <c r="E595" t="s">
        <v>172</v>
      </c>
      <c r="F595" t="s">
        <v>204</v>
      </c>
      <c r="G595" t="s">
        <v>169</v>
      </c>
      <c r="H595">
        <v>436</v>
      </c>
      <c r="I595" s="34">
        <f>+POWER_Regional_Daily_20150101_20190305_c11b3312[[#This Row],[Column8]]/100</f>
        <v>4.3600000000000003</v>
      </c>
      <c r="J595" s="34"/>
    </row>
    <row r="596" spans="1:10" x14ac:dyDescent="0.25">
      <c r="A596" s="34" t="s">
        <v>164</v>
      </c>
      <c r="B596" s="34" t="s">
        <v>165</v>
      </c>
      <c r="C596" t="s">
        <v>253</v>
      </c>
      <c r="D596" t="s">
        <v>180</v>
      </c>
      <c r="E596" t="s">
        <v>174</v>
      </c>
      <c r="F596" t="s">
        <v>195</v>
      </c>
      <c r="G596" t="s">
        <v>169</v>
      </c>
      <c r="H596">
        <v>479</v>
      </c>
      <c r="I596" s="34">
        <f>+POWER_Regional_Daily_20150101_20190305_c11b3312[[#This Row],[Column8]]/100</f>
        <v>4.79</v>
      </c>
      <c r="J596" s="34"/>
    </row>
    <row r="597" spans="1:10" x14ac:dyDescent="0.25">
      <c r="A597" s="34" t="s">
        <v>164</v>
      </c>
      <c r="B597" s="34" t="s">
        <v>165</v>
      </c>
      <c r="C597" t="s">
        <v>253</v>
      </c>
      <c r="D597" t="s">
        <v>180</v>
      </c>
      <c r="E597" t="s">
        <v>175</v>
      </c>
      <c r="F597" t="s">
        <v>185</v>
      </c>
      <c r="G597" t="s">
        <v>169</v>
      </c>
      <c r="H597">
        <v>619</v>
      </c>
      <c r="I597" s="34">
        <f>+POWER_Regional_Daily_20150101_20190305_c11b3312[[#This Row],[Column8]]/100</f>
        <v>6.19</v>
      </c>
      <c r="J597" s="34"/>
    </row>
    <row r="598" spans="1:10" x14ac:dyDescent="0.25">
      <c r="A598" s="34" t="s">
        <v>164</v>
      </c>
      <c r="B598" s="34" t="s">
        <v>165</v>
      </c>
      <c r="C598" t="s">
        <v>253</v>
      </c>
      <c r="D598" t="s">
        <v>180</v>
      </c>
      <c r="E598" t="s">
        <v>177</v>
      </c>
      <c r="F598" t="s">
        <v>185</v>
      </c>
      <c r="G598" t="s">
        <v>169</v>
      </c>
      <c r="H598">
        <v>613</v>
      </c>
      <c r="I598" s="34">
        <f>+POWER_Regional_Daily_20150101_20190305_c11b3312[[#This Row],[Column8]]/100</f>
        <v>6.13</v>
      </c>
      <c r="J598" s="34"/>
    </row>
    <row r="599" spans="1:10" x14ac:dyDescent="0.25">
      <c r="A599" s="34" t="s">
        <v>164</v>
      </c>
      <c r="B599" s="34" t="s">
        <v>165</v>
      </c>
      <c r="C599" t="s">
        <v>253</v>
      </c>
      <c r="D599" t="s">
        <v>180</v>
      </c>
      <c r="E599" t="s">
        <v>178</v>
      </c>
      <c r="F599" t="s">
        <v>218</v>
      </c>
      <c r="G599" t="s">
        <v>169</v>
      </c>
      <c r="H599">
        <v>585</v>
      </c>
      <c r="I599" s="34">
        <f>+POWER_Regional_Daily_20150101_20190305_c11b3312[[#This Row],[Column8]]/100</f>
        <v>5.85</v>
      </c>
      <c r="J599" s="34"/>
    </row>
    <row r="600" spans="1:10" x14ac:dyDescent="0.25">
      <c r="A600" s="34" t="s">
        <v>164</v>
      </c>
      <c r="B600" s="34" t="s">
        <v>165</v>
      </c>
      <c r="C600" t="s">
        <v>253</v>
      </c>
      <c r="D600" t="s">
        <v>180</v>
      </c>
      <c r="E600" t="s">
        <v>180</v>
      </c>
      <c r="F600" t="s">
        <v>218</v>
      </c>
      <c r="G600" t="s">
        <v>169</v>
      </c>
      <c r="H600">
        <v>584</v>
      </c>
      <c r="I600" s="34">
        <f>+POWER_Regional_Daily_20150101_20190305_c11b3312[[#This Row],[Column8]]/100</f>
        <v>5.84</v>
      </c>
      <c r="J600" s="34"/>
    </row>
    <row r="601" spans="1:10" x14ac:dyDescent="0.25">
      <c r="A601" s="34" t="s">
        <v>164</v>
      </c>
      <c r="B601" s="34" t="s">
        <v>165</v>
      </c>
      <c r="C601" t="s">
        <v>253</v>
      </c>
      <c r="D601" t="s">
        <v>180</v>
      </c>
      <c r="E601" t="s">
        <v>182</v>
      </c>
      <c r="F601" t="s">
        <v>187</v>
      </c>
      <c r="G601" t="s">
        <v>169</v>
      </c>
      <c r="H601">
        <v>-999</v>
      </c>
      <c r="I601" s="34">
        <f>+POWER_Regional_Daily_20150101_20190305_c11b3312[[#This Row],[Column8]]/100</f>
        <v>-9.99</v>
      </c>
      <c r="J601" s="34"/>
    </row>
    <row r="602" spans="1:10" x14ac:dyDescent="0.25">
      <c r="A602" s="34" t="s">
        <v>164</v>
      </c>
      <c r="B602" s="34" t="s">
        <v>165</v>
      </c>
      <c r="C602" t="s">
        <v>253</v>
      </c>
      <c r="D602" t="s">
        <v>180</v>
      </c>
      <c r="E602" t="s">
        <v>184</v>
      </c>
      <c r="F602" t="s">
        <v>197</v>
      </c>
      <c r="G602" t="s">
        <v>169</v>
      </c>
      <c r="H602">
        <v>443</v>
      </c>
      <c r="I602" s="34">
        <f>+POWER_Regional_Daily_20150101_20190305_c11b3312[[#This Row],[Column8]]/100</f>
        <v>4.43</v>
      </c>
      <c r="J602" s="34"/>
    </row>
    <row r="603" spans="1:10" x14ac:dyDescent="0.25">
      <c r="A603" s="34" t="s">
        <v>164</v>
      </c>
      <c r="B603" s="34" t="s">
        <v>165</v>
      </c>
      <c r="C603" t="s">
        <v>253</v>
      </c>
      <c r="D603" t="s">
        <v>180</v>
      </c>
      <c r="E603" t="s">
        <v>186</v>
      </c>
      <c r="F603" t="s">
        <v>223</v>
      </c>
      <c r="G603" t="s">
        <v>169</v>
      </c>
      <c r="H603">
        <v>494</v>
      </c>
      <c r="I603" s="34">
        <f>+POWER_Regional_Daily_20150101_20190305_c11b3312[[#This Row],[Column8]]/100</f>
        <v>4.9400000000000004</v>
      </c>
      <c r="J603" s="34"/>
    </row>
    <row r="604" spans="1:10" x14ac:dyDescent="0.25">
      <c r="A604" s="34" t="s">
        <v>164</v>
      </c>
      <c r="B604" s="34" t="s">
        <v>165</v>
      </c>
      <c r="C604" t="s">
        <v>253</v>
      </c>
      <c r="D604" t="s">
        <v>180</v>
      </c>
      <c r="E604" t="s">
        <v>188</v>
      </c>
      <c r="F604" t="s">
        <v>183</v>
      </c>
      <c r="G604" t="s">
        <v>169</v>
      </c>
      <c r="H604">
        <v>583</v>
      </c>
      <c r="I604" s="34">
        <f>+POWER_Regional_Daily_20150101_20190305_c11b3312[[#This Row],[Column8]]/100</f>
        <v>5.83</v>
      </c>
      <c r="J604" s="34"/>
    </row>
    <row r="605" spans="1:10" x14ac:dyDescent="0.25">
      <c r="A605" s="34" t="s">
        <v>164</v>
      </c>
      <c r="B605" s="34" t="s">
        <v>165</v>
      </c>
      <c r="C605" t="s">
        <v>253</v>
      </c>
      <c r="D605" t="s">
        <v>180</v>
      </c>
      <c r="E605" t="s">
        <v>190</v>
      </c>
      <c r="F605" t="s">
        <v>181</v>
      </c>
      <c r="G605" t="s">
        <v>169</v>
      </c>
      <c r="H605">
        <v>569</v>
      </c>
      <c r="I605" s="34">
        <f>+POWER_Regional_Daily_20150101_20190305_c11b3312[[#This Row],[Column8]]/100</f>
        <v>5.69</v>
      </c>
      <c r="J605" s="34"/>
    </row>
    <row r="606" spans="1:10" x14ac:dyDescent="0.25">
      <c r="A606" s="34" t="s">
        <v>164</v>
      </c>
      <c r="B606" s="34" t="s">
        <v>165</v>
      </c>
      <c r="C606" t="s">
        <v>253</v>
      </c>
      <c r="D606" t="s">
        <v>180</v>
      </c>
      <c r="E606" t="s">
        <v>192</v>
      </c>
      <c r="F606" t="s">
        <v>189</v>
      </c>
      <c r="G606" t="s">
        <v>169</v>
      </c>
      <c r="H606">
        <v>605</v>
      </c>
      <c r="I606" s="34">
        <f>+POWER_Regional_Daily_20150101_20190305_c11b3312[[#This Row],[Column8]]/100</f>
        <v>6.05</v>
      </c>
      <c r="J606" s="34"/>
    </row>
    <row r="607" spans="1:10" x14ac:dyDescent="0.25">
      <c r="A607" s="34" t="s">
        <v>164</v>
      </c>
      <c r="B607" s="34" t="s">
        <v>165</v>
      </c>
      <c r="C607" t="s">
        <v>253</v>
      </c>
      <c r="D607" t="s">
        <v>180</v>
      </c>
      <c r="E607" t="s">
        <v>194</v>
      </c>
      <c r="F607" t="s">
        <v>224</v>
      </c>
      <c r="G607" t="s">
        <v>169</v>
      </c>
      <c r="H607">
        <v>459</v>
      </c>
      <c r="I607" s="34">
        <f>+POWER_Regional_Daily_20150101_20190305_c11b3312[[#This Row],[Column8]]/100</f>
        <v>4.59</v>
      </c>
      <c r="J607" s="34"/>
    </row>
    <row r="608" spans="1:10" x14ac:dyDescent="0.25">
      <c r="A608" s="34" t="s">
        <v>164</v>
      </c>
      <c r="B608" s="34" t="s">
        <v>165</v>
      </c>
      <c r="C608" t="s">
        <v>253</v>
      </c>
      <c r="D608" t="s">
        <v>180</v>
      </c>
      <c r="E608" t="s">
        <v>196</v>
      </c>
      <c r="F608" t="s">
        <v>236</v>
      </c>
      <c r="G608" t="s">
        <v>169</v>
      </c>
      <c r="H608">
        <v>535</v>
      </c>
      <c r="I608" s="34">
        <f>+POWER_Regional_Daily_20150101_20190305_c11b3312[[#This Row],[Column8]]/100</f>
        <v>5.35</v>
      </c>
      <c r="J608" s="34"/>
    </row>
    <row r="609" spans="1:10" x14ac:dyDescent="0.25">
      <c r="A609" s="34" t="s">
        <v>164</v>
      </c>
      <c r="B609" s="34" t="s">
        <v>165</v>
      </c>
      <c r="C609" t="s">
        <v>253</v>
      </c>
      <c r="D609" t="s">
        <v>180</v>
      </c>
      <c r="E609" t="s">
        <v>198</v>
      </c>
      <c r="F609" t="s">
        <v>231</v>
      </c>
      <c r="G609" t="s">
        <v>169</v>
      </c>
      <c r="H609">
        <v>491</v>
      </c>
      <c r="I609" s="34">
        <f>+POWER_Regional_Daily_20150101_20190305_c11b3312[[#This Row],[Column8]]/100</f>
        <v>4.91</v>
      </c>
      <c r="J609" s="34"/>
    </row>
    <row r="610" spans="1:10" x14ac:dyDescent="0.25">
      <c r="A610" s="34" t="s">
        <v>164</v>
      </c>
      <c r="B610" s="34" t="s">
        <v>165</v>
      </c>
      <c r="C610" t="s">
        <v>253</v>
      </c>
      <c r="D610" t="s">
        <v>180</v>
      </c>
      <c r="E610" t="s">
        <v>199</v>
      </c>
      <c r="F610" t="s">
        <v>221</v>
      </c>
      <c r="G610" t="s">
        <v>169</v>
      </c>
      <c r="H610">
        <v>414</v>
      </c>
      <c r="I610" s="34">
        <f>+POWER_Regional_Daily_20150101_20190305_c11b3312[[#This Row],[Column8]]/100</f>
        <v>4.1399999999999997</v>
      </c>
      <c r="J610" s="34"/>
    </row>
    <row r="611" spans="1:10" x14ac:dyDescent="0.25">
      <c r="A611" s="34" t="s">
        <v>164</v>
      </c>
      <c r="B611" s="34" t="s">
        <v>165</v>
      </c>
      <c r="C611" t="s">
        <v>253</v>
      </c>
      <c r="D611" t="s">
        <v>180</v>
      </c>
      <c r="E611" t="s">
        <v>200</v>
      </c>
      <c r="F611" t="s">
        <v>181</v>
      </c>
      <c r="G611" t="s">
        <v>314</v>
      </c>
      <c r="H611">
        <v>572</v>
      </c>
      <c r="I611" s="34">
        <f>+POWER_Regional_Daily_20150101_20190305_c11b3312[[#This Row],[Column8]]/100</f>
        <v>5.72</v>
      </c>
      <c r="J611" s="34"/>
    </row>
    <row r="612" spans="1:10" x14ac:dyDescent="0.25">
      <c r="A612" s="34" t="s">
        <v>164</v>
      </c>
      <c r="B612" s="34" t="s">
        <v>165</v>
      </c>
      <c r="C612" t="s">
        <v>253</v>
      </c>
      <c r="D612" t="s">
        <v>180</v>
      </c>
      <c r="E612" t="s">
        <v>202</v>
      </c>
      <c r="F612" t="s">
        <v>181</v>
      </c>
      <c r="G612" t="s">
        <v>169</v>
      </c>
      <c r="H612">
        <v>577</v>
      </c>
      <c r="I612" s="34">
        <f>+POWER_Regional_Daily_20150101_20190305_c11b3312[[#This Row],[Column8]]/100</f>
        <v>5.77</v>
      </c>
      <c r="J612" s="34"/>
    </row>
    <row r="613" spans="1:10" x14ac:dyDescent="0.25">
      <c r="A613" s="34" t="s">
        <v>164</v>
      </c>
      <c r="B613" s="34" t="s">
        <v>165</v>
      </c>
      <c r="C613" t="s">
        <v>253</v>
      </c>
      <c r="D613" t="s">
        <v>180</v>
      </c>
      <c r="E613" t="s">
        <v>203</v>
      </c>
      <c r="F613" t="s">
        <v>250</v>
      </c>
      <c r="G613" t="s">
        <v>169</v>
      </c>
      <c r="H613">
        <v>655</v>
      </c>
      <c r="I613" s="34">
        <f>+POWER_Regional_Daily_20150101_20190305_c11b3312[[#This Row],[Column8]]/100</f>
        <v>6.55</v>
      </c>
      <c r="J613" s="34"/>
    </row>
    <row r="614" spans="1:10" x14ac:dyDescent="0.25">
      <c r="A614" s="34" t="s">
        <v>164</v>
      </c>
      <c r="B614" s="34" t="s">
        <v>165</v>
      </c>
      <c r="C614" t="s">
        <v>253</v>
      </c>
      <c r="D614" t="s">
        <v>180</v>
      </c>
      <c r="E614" t="s">
        <v>205</v>
      </c>
      <c r="F614" t="s">
        <v>221</v>
      </c>
      <c r="G614" t="s">
        <v>169</v>
      </c>
      <c r="H614">
        <v>424</v>
      </c>
      <c r="I614" s="34">
        <f>+POWER_Regional_Daily_20150101_20190305_c11b3312[[#This Row],[Column8]]/100</f>
        <v>4.24</v>
      </c>
      <c r="J614" s="34"/>
    </row>
    <row r="615" spans="1:10" x14ac:dyDescent="0.25">
      <c r="A615" s="34" t="s">
        <v>164</v>
      </c>
      <c r="B615" s="34" t="s">
        <v>165</v>
      </c>
      <c r="C615" t="s">
        <v>253</v>
      </c>
      <c r="D615" t="s">
        <v>180</v>
      </c>
      <c r="E615" t="s">
        <v>207</v>
      </c>
      <c r="F615" t="s">
        <v>247</v>
      </c>
      <c r="G615" t="s">
        <v>258</v>
      </c>
      <c r="H615">
        <v>706</v>
      </c>
      <c r="I615" s="34">
        <f>+POWER_Regional_Daily_20150101_20190305_c11b3312[[#This Row],[Column8]]/100</f>
        <v>7.06</v>
      </c>
      <c r="J615" s="34"/>
    </row>
    <row r="616" spans="1:10" x14ac:dyDescent="0.25">
      <c r="A616" s="34" t="s">
        <v>164</v>
      </c>
      <c r="B616" s="34" t="s">
        <v>165</v>
      </c>
      <c r="C616" t="s">
        <v>253</v>
      </c>
      <c r="D616" t="s">
        <v>180</v>
      </c>
      <c r="E616" t="s">
        <v>208</v>
      </c>
      <c r="F616" t="s">
        <v>222</v>
      </c>
      <c r="G616" t="s">
        <v>169</v>
      </c>
      <c r="H616">
        <v>555</v>
      </c>
      <c r="I616" s="34">
        <f>+POWER_Regional_Daily_20150101_20190305_c11b3312[[#This Row],[Column8]]/100</f>
        <v>5.55</v>
      </c>
      <c r="J616" s="34"/>
    </row>
    <row r="617" spans="1:10" x14ac:dyDescent="0.25">
      <c r="A617" s="34" t="s">
        <v>164</v>
      </c>
      <c r="B617" s="34" t="s">
        <v>165</v>
      </c>
      <c r="C617" t="s">
        <v>253</v>
      </c>
      <c r="D617" t="s">
        <v>180</v>
      </c>
      <c r="E617" t="s">
        <v>210</v>
      </c>
      <c r="F617" t="s">
        <v>187</v>
      </c>
      <c r="G617" t="s">
        <v>169</v>
      </c>
      <c r="H617">
        <v>-999</v>
      </c>
      <c r="I617" s="34">
        <f>+POWER_Regional_Daily_20150101_20190305_c11b3312[[#This Row],[Column8]]/100</f>
        <v>-9.99</v>
      </c>
      <c r="J617" s="34"/>
    </row>
    <row r="618" spans="1:10" x14ac:dyDescent="0.25">
      <c r="A618" s="34" t="s">
        <v>164</v>
      </c>
      <c r="B618" s="34" t="s">
        <v>165</v>
      </c>
      <c r="C618" t="s">
        <v>253</v>
      </c>
      <c r="D618" t="s">
        <v>180</v>
      </c>
      <c r="E618" t="s">
        <v>212</v>
      </c>
      <c r="F618" t="s">
        <v>193</v>
      </c>
      <c r="G618" t="s">
        <v>169</v>
      </c>
      <c r="H618">
        <v>415</v>
      </c>
      <c r="I618" s="34">
        <f>+POWER_Regional_Daily_20150101_20190305_c11b3312[[#This Row],[Column8]]/100</f>
        <v>4.1500000000000004</v>
      </c>
      <c r="J618" s="34"/>
    </row>
    <row r="619" spans="1:10" x14ac:dyDescent="0.25">
      <c r="A619" s="34" t="s">
        <v>164</v>
      </c>
      <c r="B619" s="34" t="s">
        <v>165</v>
      </c>
      <c r="C619" t="s">
        <v>253</v>
      </c>
      <c r="D619" t="s">
        <v>180</v>
      </c>
      <c r="E619" t="s">
        <v>214</v>
      </c>
      <c r="F619" t="s">
        <v>213</v>
      </c>
      <c r="G619" t="s">
        <v>169</v>
      </c>
      <c r="H619">
        <v>570</v>
      </c>
      <c r="I619" s="34">
        <f>+POWER_Regional_Daily_20150101_20190305_c11b3312[[#This Row],[Column8]]/100</f>
        <v>5.7</v>
      </c>
      <c r="J619" s="34"/>
    </row>
    <row r="620" spans="1:10" x14ac:dyDescent="0.25">
      <c r="A620" s="34" t="s">
        <v>164</v>
      </c>
      <c r="B620" s="34" t="s">
        <v>165</v>
      </c>
      <c r="C620" t="s">
        <v>253</v>
      </c>
      <c r="D620" t="s">
        <v>180</v>
      </c>
      <c r="E620" t="s">
        <v>215</v>
      </c>
      <c r="F620" t="s">
        <v>236</v>
      </c>
      <c r="G620" t="s">
        <v>169</v>
      </c>
      <c r="H620">
        <v>536</v>
      </c>
      <c r="I620" s="34">
        <f>+POWER_Regional_Daily_20150101_20190305_c11b3312[[#This Row],[Column8]]/100</f>
        <v>5.36</v>
      </c>
      <c r="J620" s="34"/>
    </row>
    <row r="621" spans="1:10" x14ac:dyDescent="0.25">
      <c r="A621" s="34" t="s">
        <v>164</v>
      </c>
      <c r="B621" s="34" t="s">
        <v>165</v>
      </c>
      <c r="C621" t="s">
        <v>253</v>
      </c>
      <c r="D621" t="s">
        <v>180</v>
      </c>
      <c r="E621" t="s">
        <v>217</v>
      </c>
      <c r="F621" t="s">
        <v>236</v>
      </c>
      <c r="G621" t="s">
        <v>169</v>
      </c>
      <c r="H621">
        <v>536</v>
      </c>
      <c r="I621" s="34">
        <f>+POWER_Regional_Daily_20150101_20190305_c11b3312[[#This Row],[Column8]]/100</f>
        <v>5.36</v>
      </c>
      <c r="J621" s="34"/>
    </row>
    <row r="622" spans="1:10" x14ac:dyDescent="0.25">
      <c r="A622" s="34" t="s">
        <v>164</v>
      </c>
      <c r="B622" s="34" t="s">
        <v>165</v>
      </c>
      <c r="C622" t="s">
        <v>253</v>
      </c>
      <c r="D622" t="s">
        <v>180</v>
      </c>
      <c r="E622" t="s">
        <v>219</v>
      </c>
      <c r="F622" t="s">
        <v>204</v>
      </c>
      <c r="G622" t="s">
        <v>169</v>
      </c>
      <c r="H622">
        <v>445</v>
      </c>
      <c r="I622" s="34">
        <f>+POWER_Regional_Daily_20150101_20190305_c11b3312[[#This Row],[Column8]]/100</f>
        <v>4.45</v>
      </c>
      <c r="J622" s="34"/>
    </row>
    <row r="623" spans="1:10" x14ac:dyDescent="0.25">
      <c r="A623" s="34" t="s">
        <v>164</v>
      </c>
      <c r="B623" s="34" t="s">
        <v>165</v>
      </c>
      <c r="C623" t="s">
        <v>253</v>
      </c>
      <c r="D623" t="s">
        <v>180</v>
      </c>
      <c r="E623" t="s">
        <v>220</v>
      </c>
      <c r="F623" t="s">
        <v>221</v>
      </c>
      <c r="G623" t="s">
        <v>169</v>
      </c>
      <c r="H623">
        <v>422</v>
      </c>
      <c r="I623" s="34">
        <f>+POWER_Regional_Daily_20150101_20190305_c11b3312[[#This Row],[Column8]]/100</f>
        <v>4.22</v>
      </c>
      <c r="J623" s="34"/>
    </row>
    <row r="624" spans="1:10" x14ac:dyDescent="0.25">
      <c r="A624" s="34" t="s">
        <v>164</v>
      </c>
      <c r="B624" s="34" t="s">
        <v>165</v>
      </c>
      <c r="C624" t="s">
        <v>253</v>
      </c>
      <c r="D624" t="s">
        <v>182</v>
      </c>
      <c r="E624" t="s">
        <v>167</v>
      </c>
      <c r="F624" t="s">
        <v>230</v>
      </c>
      <c r="G624" t="s">
        <v>169</v>
      </c>
      <c r="H624">
        <v>382</v>
      </c>
      <c r="I624" s="34">
        <f>+POWER_Regional_Daily_20150101_20190305_c11b3312[[#This Row],[Column8]]/100</f>
        <v>3.82</v>
      </c>
      <c r="J624" s="34"/>
    </row>
    <row r="625" spans="1:10" x14ac:dyDescent="0.25">
      <c r="A625" s="34" t="s">
        <v>164</v>
      </c>
      <c r="B625" s="34" t="s">
        <v>165</v>
      </c>
      <c r="C625" t="s">
        <v>253</v>
      </c>
      <c r="D625" t="s">
        <v>182</v>
      </c>
      <c r="E625" t="s">
        <v>170</v>
      </c>
      <c r="F625" t="s">
        <v>239</v>
      </c>
      <c r="G625" t="s">
        <v>169</v>
      </c>
      <c r="H625">
        <v>373</v>
      </c>
      <c r="I625" s="34">
        <f>+POWER_Regional_Daily_20150101_20190305_c11b3312[[#This Row],[Column8]]/100</f>
        <v>3.73</v>
      </c>
      <c r="J625" s="34"/>
    </row>
    <row r="626" spans="1:10" x14ac:dyDescent="0.25">
      <c r="A626" s="34" t="s">
        <v>164</v>
      </c>
      <c r="B626" s="34" t="s">
        <v>165</v>
      </c>
      <c r="C626" t="s">
        <v>253</v>
      </c>
      <c r="D626" t="s">
        <v>182</v>
      </c>
      <c r="E626" t="s">
        <v>172</v>
      </c>
      <c r="F626" t="s">
        <v>233</v>
      </c>
      <c r="G626" t="s">
        <v>169</v>
      </c>
      <c r="H626">
        <v>476</v>
      </c>
      <c r="I626" s="34">
        <f>+POWER_Regional_Daily_20150101_20190305_c11b3312[[#This Row],[Column8]]/100</f>
        <v>4.76</v>
      </c>
      <c r="J626" s="34"/>
    </row>
    <row r="627" spans="1:10" x14ac:dyDescent="0.25">
      <c r="A627" s="34" t="s">
        <v>164</v>
      </c>
      <c r="B627" s="34" t="s">
        <v>165</v>
      </c>
      <c r="C627" t="s">
        <v>253</v>
      </c>
      <c r="D627" t="s">
        <v>182</v>
      </c>
      <c r="E627" t="s">
        <v>174</v>
      </c>
      <c r="F627" t="s">
        <v>181</v>
      </c>
      <c r="G627" t="s">
        <v>169</v>
      </c>
      <c r="H627">
        <v>576</v>
      </c>
      <c r="I627" s="34">
        <f>+POWER_Regional_Daily_20150101_20190305_c11b3312[[#This Row],[Column8]]/100</f>
        <v>5.76</v>
      </c>
      <c r="J627" s="34"/>
    </row>
    <row r="628" spans="1:10" x14ac:dyDescent="0.25">
      <c r="A628" s="34" t="s">
        <v>164</v>
      </c>
      <c r="B628" s="34" t="s">
        <v>165</v>
      </c>
      <c r="C628" t="s">
        <v>253</v>
      </c>
      <c r="D628" t="s">
        <v>182</v>
      </c>
      <c r="E628" t="s">
        <v>175</v>
      </c>
      <c r="F628" t="s">
        <v>223</v>
      </c>
      <c r="G628" t="s">
        <v>169</v>
      </c>
      <c r="H628">
        <v>501</v>
      </c>
      <c r="I628" s="34">
        <f>+POWER_Regional_Daily_20150101_20190305_c11b3312[[#This Row],[Column8]]/100</f>
        <v>5.01</v>
      </c>
      <c r="J628" s="34"/>
    </row>
    <row r="629" spans="1:10" x14ac:dyDescent="0.25">
      <c r="A629" s="34" t="s">
        <v>164</v>
      </c>
      <c r="B629" s="34" t="s">
        <v>165</v>
      </c>
      <c r="C629" t="s">
        <v>253</v>
      </c>
      <c r="D629" t="s">
        <v>182</v>
      </c>
      <c r="E629" t="s">
        <v>177</v>
      </c>
      <c r="F629" t="s">
        <v>181</v>
      </c>
      <c r="G629" t="s">
        <v>169</v>
      </c>
      <c r="H629">
        <v>574</v>
      </c>
      <c r="I629" s="34">
        <f>+POWER_Regional_Daily_20150101_20190305_c11b3312[[#This Row],[Column8]]/100</f>
        <v>5.74</v>
      </c>
      <c r="J629" s="34"/>
    </row>
    <row r="630" spans="1:10" x14ac:dyDescent="0.25">
      <c r="A630" s="34" t="s">
        <v>164</v>
      </c>
      <c r="B630" s="34" t="s">
        <v>165</v>
      </c>
      <c r="C630" t="s">
        <v>253</v>
      </c>
      <c r="D630" t="s">
        <v>182</v>
      </c>
      <c r="E630" t="s">
        <v>178</v>
      </c>
      <c r="F630" t="s">
        <v>228</v>
      </c>
      <c r="G630" t="s">
        <v>169</v>
      </c>
      <c r="H630">
        <v>270</v>
      </c>
      <c r="I630" s="34">
        <f>+POWER_Regional_Daily_20150101_20190305_c11b3312[[#This Row],[Column8]]/100</f>
        <v>2.7</v>
      </c>
      <c r="J630" s="34"/>
    </row>
    <row r="631" spans="1:10" x14ac:dyDescent="0.25">
      <c r="A631" s="34" t="s">
        <v>164</v>
      </c>
      <c r="B631" s="34" t="s">
        <v>165</v>
      </c>
      <c r="C631" t="s">
        <v>253</v>
      </c>
      <c r="D631" t="s">
        <v>182</v>
      </c>
      <c r="E631" t="s">
        <v>180</v>
      </c>
      <c r="F631" t="s">
        <v>218</v>
      </c>
      <c r="G631" t="s">
        <v>169</v>
      </c>
      <c r="H631">
        <v>604</v>
      </c>
      <c r="I631" s="34">
        <f>+POWER_Regional_Daily_20150101_20190305_c11b3312[[#This Row],[Column8]]/100</f>
        <v>6.04</v>
      </c>
      <c r="J631" s="34"/>
    </row>
    <row r="632" spans="1:10" x14ac:dyDescent="0.25">
      <c r="A632" s="34" t="s">
        <v>164</v>
      </c>
      <c r="B632" s="34" t="s">
        <v>165</v>
      </c>
      <c r="C632" t="s">
        <v>253</v>
      </c>
      <c r="D632" t="s">
        <v>182</v>
      </c>
      <c r="E632" t="s">
        <v>182</v>
      </c>
      <c r="F632" t="s">
        <v>211</v>
      </c>
      <c r="G632" t="s">
        <v>169</v>
      </c>
      <c r="H632">
        <v>436</v>
      </c>
      <c r="I632" s="34">
        <f>+POWER_Regional_Daily_20150101_20190305_c11b3312[[#This Row],[Column8]]/100</f>
        <v>4.3600000000000003</v>
      </c>
      <c r="J632" s="34"/>
    </row>
    <row r="633" spans="1:10" x14ac:dyDescent="0.25">
      <c r="A633" s="34" t="s">
        <v>164</v>
      </c>
      <c r="B633" s="34" t="s">
        <v>165</v>
      </c>
      <c r="C633" t="s">
        <v>253</v>
      </c>
      <c r="D633" t="s">
        <v>182</v>
      </c>
      <c r="E633" t="s">
        <v>184</v>
      </c>
      <c r="F633" t="s">
        <v>187</v>
      </c>
      <c r="G633" t="s">
        <v>169</v>
      </c>
      <c r="H633">
        <v>-999</v>
      </c>
      <c r="I633" s="34">
        <f>+POWER_Regional_Daily_20150101_20190305_c11b3312[[#This Row],[Column8]]/100</f>
        <v>-9.99</v>
      </c>
      <c r="J633" s="34"/>
    </row>
    <row r="634" spans="1:10" x14ac:dyDescent="0.25">
      <c r="A634" s="34" t="s">
        <v>164</v>
      </c>
      <c r="B634" s="34" t="s">
        <v>165</v>
      </c>
      <c r="C634" t="s">
        <v>253</v>
      </c>
      <c r="D634" t="s">
        <v>182</v>
      </c>
      <c r="E634" t="s">
        <v>186</v>
      </c>
      <c r="F634" t="s">
        <v>206</v>
      </c>
      <c r="G634" t="s">
        <v>169</v>
      </c>
      <c r="H634">
        <v>401</v>
      </c>
      <c r="I634" s="34">
        <f>+POWER_Regional_Daily_20150101_20190305_c11b3312[[#This Row],[Column8]]/100</f>
        <v>4.01</v>
      </c>
      <c r="J634" s="34"/>
    </row>
    <row r="635" spans="1:10" x14ac:dyDescent="0.25">
      <c r="A635" s="34" t="s">
        <v>164</v>
      </c>
      <c r="B635" s="34" t="s">
        <v>165</v>
      </c>
      <c r="C635" t="s">
        <v>253</v>
      </c>
      <c r="D635" t="s">
        <v>182</v>
      </c>
      <c r="E635" t="s">
        <v>188</v>
      </c>
      <c r="F635" t="s">
        <v>193</v>
      </c>
      <c r="G635" t="s">
        <v>169</v>
      </c>
      <c r="H635">
        <v>413</v>
      </c>
      <c r="I635" s="34">
        <f>+POWER_Regional_Daily_20150101_20190305_c11b3312[[#This Row],[Column8]]/100</f>
        <v>4.13</v>
      </c>
      <c r="J635" s="34"/>
    </row>
    <row r="636" spans="1:10" x14ac:dyDescent="0.25">
      <c r="A636" s="34" t="s">
        <v>164</v>
      </c>
      <c r="B636" s="34" t="s">
        <v>165</v>
      </c>
      <c r="C636" t="s">
        <v>253</v>
      </c>
      <c r="D636" t="s">
        <v>182</v>
      </c>
      <c r="E636" t="s">
        <v>190</v>
      </c>
      <c r="F636" t="s">
        <v>193</v>
      </c>
      <c r="G636" t="s">
        <v>169</v>
      </c>
      <c r="H636">
        <v>415</v>
      </c>
      <c r="I636" s="34">
        <f>+POWER_Regional_Daily_20150101_20190305_c11b3312[[#This Row],[Column8]]/100</f>
        <v>4.1500000000000004</v>
      </c>
      <c r="J636" s="34"/>
    </row>
    <row r="637" spans="1:10" x14ac:dyDescent="0.25">
      <c r="A637" s="34" t="s">
        <v>164</v>
      </c>
      <c r="B637" s="34" t="s">
        <v>165</v>
      </c>
      <c r="C637" t="s">
        <v>253</v>
      </c>
      <c r="D637" t="s">
        <v>182</v>
      </c>
      <c r="E637" t="s">
        <v>192</v>
      </c>
      <c r="F637" t="s">
        <v>231</v>
      </c>
      <c r="G637" t="s">
        <v>169</v>
      </c>
      <c r="H637">
        <v>494</v>
      </c>
      <c r="I637" s="34">
        <f>+POWER_Regional_Daily_20150101_20190305_c11b3312[[#This Row],[Column8]]/100</f>
        <v>4.9400000000000004</v>
      </c>
      <c r="J637" s="34"/>
    </row>
    <row r="638" spans="1:10" x14ac:dyDescent="0.25">
      <c r="A638" s="34" t="s">
        <v>164</v>
      </c>
      <c r="B638" s="34" t="s">
        <v>165</v>
      </c>
      <c r="C638" t="s">
        <v>253</v>
      </c>
      <c r="D638" t="s">
        <v>182</v>
      </c>
      <c r="E638" t="s">
        <v>194</v>
      </c>
      <c r="F638" t="s">
        <v>231</v>
      </c>
      <c r="G638" t="s">
        <v>169</v>
      </c>
      <c r="H638">
        <v>497</v>
      </c>
      <c r="I638" s="34">
        <f>+POWER_Regional_Daily_20150101_20190305_c11b3312[[#This Row],[Column8]]/100</f>
        <v>4.97</v>
      </c>
      <c r="J638" s="34"/>
    </row>
    <row r="639" spans="1:10" x14ac:dyDescent="0.25">
      <c r="A639" s="34" t="s">
        <v>164</v>
      </c>
      <c r="B639" s="34" t="s">
        <v>165</v>
      </c>
      <c r="C639" t="s">
        <v>253</v>
      </c>
      <c r="D639" t="s">
        <v>182</v>
      </c>
      <c r="E639" t="s">
        <v>196</v>
      </c>
      <c r="F639" t="s">
        <v>168</v>
      </c>
      <c r="G639" t="s">
        <v>245</v>
      </c>
      <c r="H639">
        <v>639</v>
      </c>
      <c r="I639" s="34">
        <f>+POWER_Regional_Daily_20150101_20190305_c11b3312[[#This Row],[Column8]]/100</f>
        <v>6.39</v>
      </c>
      <c r="J639" s="34"/>
    </row>
    <row r="640" spans="1:10" x14ac:dyDescent="0.25">
      <c r="A640" s="34" t="s">
        <v>164</v>
      </c>
      <c r="B640" s="34" t="s">
        <v>165</v>
      </c>
      <c r="C640" t="s">
        <v>253</v>
      </c>
      <c r="D640" t="s">
        <v>182</v>
      </c>
      <c r="E640" t="s">
        <v>198</v>
      </c>
      <c r="F640" t="s">
        <v>185</v>
      </c>
      <c r="G640" t="s">
        <v>169</v>
      </c>
      <c r="H640">
        <v>629</v>
      </c>
      <c r="I640" s="34">
        <f>+POWER_Regional_Daily_20150101_20190305_c11b3312[[#This Row],[Column8]]/100</f>
        <v>6.29</v>
      </c>
      <c r="J640" s="34"/>
    </row>
    <row r="641" spans="1:10" x14ac:dyDescent="0.25">
      <c r="A641" s="34" t="s">
        <v>164</v>
      </c>
      <c r="B641" s="34" t="s">
        <v>165</v>
      </c>
      <c r="C641" t="s">
        <v>253</v>
      </c>
      <c r="D641" t="s">
        <v>182</v>
      </c>
      <c r="E641" t="s">
        <v>199</v>
      </c>
      <c r="F641" t="s">
        <v>233</v>
      </c>
      <c r="G641" t="s">
        <v>169</v>
      </c>
      <c r="H641">
        <v>479</v>
      </c>
      <c r="I641" s="34">
        <f>+POWER_Regional_Daily_20150101_20190305_c11b3312[[#This Row],[Column8]]/100</f>
        <v>4.79</v>
      </c>
      <c r="J641" s="34"/>
    </row>
    <row r="642" spans="1:10" x14ac:dyDescent="0.25">
      <c r="A642" s="34" t="s">
        <v>164</v>
      </c>
      <c r="B642" s="34" t="s">
        <v>165</v>
      </c>
      <c r="C642" t="s">
        <v>253</v>
      </c>
      <c r="D642" t="s">
        <v>182</v>
      </c>
      <c r="E642" t="s">
        <v>200</v>
      </c>
      <c r="F642" t="s">
        <v>204</v>
      </c>
      <c r="G642" t="s">
        <v>169</v>
      </c>
      <c r="H642">
        <v>439</v>
      </c>
      <c r="I642" s="34">
        <f>+POWER_Regional_Daily_20150101_20190305_c11b3312[[#This Row],[Column8]]/100</f>
        <v>4.3899999999999997</v>
      </c>
      <c r="J642" s="34"/>
    </row>
    <row r="643" spans="1:10" x14ac:dyDescent="0.25">
      <c r="A643" s="34" t="s">
        <v>164</v>
      </c>
      <c r="B643" s="34" t="s">
        <v>165</v>
      </c>
      <c r="C643" t="s">
        <v>253</v>
      </c>
      <c r="D643" t="s">
        <v>182</v>
      </c>
      <c r="E643" t="s">
        <v>202</v>
      </c>
      <c r="F643" t="s">
        <v>183</v>
      </c>
      <c r="G643" t="s">
        <v>169</v>
      </c>
      <c r="H643">
        <v>591</v>
      </c>
      <c r="I643" s="34">
        <f>+POWER_Regional_Daily_20150101_20190305_c11b3312[[#This Row],[Column8]]/100</f>
        <v>5.91</v>
      </c>
      <c r="J643" s="34"/>
    </row>
    <row r="644" spans="1:10" x14ac:dyDescent="0.25">
      <c r="A644" s="34" t="s">
        <v>164</v>
      </c>
      <c r="B644" s="34" t="s">
        <v>165</v>
      </c>
      <c r="C644" t="s">
        <v>253</v>
      </c>
      <c r="D644" t="s">
        <v>182</v>
      </c>
      <c r="E644" t="s">
        <v>203</v>
      </c>
      <c r="F644" t="s">
        <v>229</v>
      </c>
      <c r="G644" t="s">
        <v>169</v>
      </c>
      <c r="H644">
        <v>360</v>
      </c>
      <c r="I644" s="34">
        <f>+POWER_Regional_Daily_20150101_20190305_c11b3312[[#This Row],[Column8]]/100</f>
        <v>3.6</v>
      </c>
      <c r="J644" s="34"/>
    </row>
    <row r="645" spans="1:10" x14ac:dyDescent="0.25">
      <c r="A645" s="34" t="s">
        <v>164</v>
      </c>
      <c r="B645" s="34" t="s">
        <v>165</v>
      </c>
      <c r="C645" t="s">
        <v>253</v>
      </c>
      <c r="D645" t="s">
        <v>182</v>
      </c>
      <c r="E645" t="s">
        <v>205</v>
      </c>
      <c r="F645" t="s">
        <v>224</v>
      </c>
      <c r="G645" t="s">
        <v>169</v>
      </c>
      <c r="H645">
        <v>466</v>
      </c>
      <c r="I645" s="34">
        <f>+POWER_Regional_Daily_20150101_20190305_c11b3312[[#This Row],[Column8]]/100</f>
        <v>4.66</v>
      </c>
      <c r="J645" s="34"/>
    </row>
    <row r="646" spans="1:10" x14ac:dyDescent="0.25">
      <c r="A646" s="34" t="s">
        <v>164</v>
      </c>
      <c r="B646" s="34" t="s">
        <v>165</v>
      </c>
      <c r="C646" t="s">
        <v>253</v>
      </c>
      <c r="D646" t="s">
        <v>182</v>
      </c>
      <c r="E646" t="s">
        <v>207</v>
      </c>
      <c r="F646" t="s">
        <v>232</v>
      </c>
      <c r="G646" t="s">
        <v>169</v>
      </c>
      <c r="H646">
        <v>619</v>
      </c>
      <c r="I646" s="34">
        <f>+POWER_Regional_Daily_20150101_20190305_c11b3312[[#This Row],[Column8]]/100</f>
        <v>6.19</v>
      </c>
      <c r="J646" s="34"/>
    </row>
    <row r="647" spans="1:10" x14ac:dyDescent="0.25">
      <c r="A647" s="34" t="s">
        <v>164</v>
      </c>
      <c r="B647" s="34" t="s">
        <v>165</v>
      </c>
      <c r="C647" t="s">
        <v>253</v>
      </c>
      <c r="D647" t="s">
        <v>182</v>
      </c>
      <c r="E647" t="s">
        <v>208</v>
      </c>
      <c r="F647" t="s">
        <v>197</v>
      </c>
      <c r="G647" t="s">
        <v>169</v>
      </c>
      <c r="H647">
        <v>453</v>
      </c>
      <c r="I647" s="34">
        <f>+POWER_Regional_Daily_20150101_20190305_c11b3312[[#This Row],[Column8]]/100</f>
        <v>4.53</v>
      </c>
      <c r="J647" s="34"/>
    </row>
    <row r="648" spans="1:10" x14ac:dyDescent="0.25">
      <c r="A648" s="34" t="s">
        <v>164</v>
      </c>
      <c r="B648" s="34" t="s">
        <v>165</v>
      </c>
      <c r="C648" t="s">
        <v>253</v>
      </c>
      <c r="D648" t="s">
        <v>182</v>
      </c>
      <c r="E648" t="s">
        <v>210</v>
      </c>
      <c r="F648" t="s">
        <v>233</v>
      </c>
      <c r="G648" t="s">
        <v>169</v>
      </c>
      <c r="H648">
        <v>477</v>
      </c>
      <c r="I648" s="34">
        <f>+POWER_Regional_Daily_20150101_20190305_c11b3312[[#This Row],[Column8]]/100</f>
        <v>4.7699999999999996</v>
      </c>
      <c r="J648" s="34"/>
    </row>
    <row r="649" spans="1:10" x14ac:dyDescent="0.25">
      <c r="A649" s="34" t="s">
        <v>164</v>
      </c>
      <c r="B649" s="34" t="s">
        <v>165</v>
      </c>
      <c r="C649" t="s">
        <v>253</v>
      </c>
      <c r="D649" t="s">
        <v>182</v>
      </c>
      <c r="E649" t="s">
        <v>212</v>
      </c>
      <c r="F649" t="s">
        <v>187</v>
      </c>
      <c r="G649" t="s">
        <v>169</v>
      </c>
      <c r="H649">
        <v>-999</v>
      </c>
      <c r="I649" s="34">
        <f>+POWER_Regional_Daily_20150101_20190305_c11b3312[[#This Row],[Column8]]/100</f>
        <v>-9.99</v>
      </c>
      <c r="J649" s="34"/>
    </row>
    <row r="650" spans="1:10" x14ac:dyDescent="0.25">
      <c r="A650" s="34" t="s">
        <v>164</v>
      </c>
      <c r="B650" s="34" t="s">
        <v>165</v>
      </c>
      <c r="C650" t="s">
        <v>253</v>
      </c>
      <c r="D650" t="s">
        <v>182</v>
      </c>
      <c r="E650" t="s">
        <v>214</v>
      </c>
      <c r="F650" t="s">
        <v>209</v>
      </c>
      <c r="G650" t="s">
        <v>169</v>
      </c>
      <c r="H650">
        <v>521</v>
      </c>
      <c r="I650" s="34">
        <f>+POWER_Regional_Daily_20150101_20190305_c11b3312[[#This Row],[Column8]]/100</f>
        <v>5.21</v>
      </c>
      <c r="J650" s="34"/>
    </row>
    <row r="651" spans="1:10" x14ac:dyDescent="0.25">
      <c r="A651" s="34" t="s">
        <v>164</v>
      </c>
      <c r="B651" s="34" t="s">
        <v>165</v>
      </c>
      <c r="C651" t="s">
        <v>253</v>
      </c>
      <c r="D651" t="s">
        <v>182</v>
      </c>
      <c r="E651" t="s">
        <v>215</v>
      </c>
      <c r="F651" t="s">
        <v>222</v>
      </c>
      <c r="G651" t="s">
        <v>169</v>
      </c>
      <c r="H651">
        <v>556</v>
      </c>
      <c r="I651" s="34">
        <f>+POWER_Regional_Daily_20150101_20190305_c11b3312[[#This Row],[Column8]]/100</f>
        <v>5.56</v>
      </c>
      <c r="J651" s="34"/>
    </row>
    <row r="652" spans="1:10" x14ac:dyDescent="0.25">
      <c r="A652" s="34" t="s">
        <v>164</v>
      </c>
      <c r="B652" s="34" t="s">
        <v>165</v>
      </c>
      <c r="C652" t="s">
        <v>253</v>
      </c>
      <c r="D652" t="s">
        <v>182</v>
      </c>
      <c r="E652" t="s">
        <v>217</v>
      </c>
      <c r="F652" t="s">
        <v>222</v>
      </c>
      <c r="G652" t="s">
        <v>169</v>
      </c>
      <c r="H652">
        <v>554</v>
      </c>
      <c r="I652" s="34">
        <f>+POWER_Regional_Daily_20150101_20190305_c11b3312[[#This Row],[Column8]]/100</f>
        <v>5.54</v>
      </c>
      <c r="J652" s="34"/>
    </row>
    <row r="653" spans="1:10" x14ac:dyDescent="0.25">
      <c r="A653" s="34" t="s">
        <v>164</v>
      </c>
      <c r="B653" s="34" t="s">
        <v>165</v>
      </c>
      <c r="C653" t="s">
        <v>253</v>
      </c>
      <c r="D653" t="s">
        <v>182</v>
      </c>
      <c r="E653" t="s">
        <v>219</v>
      </c>
      <c r="F653" t="s">
        <v>235</v>
      </c>
      <c r="G653" t="s">
        <v>169</v>
      </c>
      <c r="H653">
        <v>512</v>
      </c>
      <c r="I653" s="34">
        <f>+POWER_Regional_Daily_20150101_20190305_c11b3312[[#This Row],[Column8]]/100</f>
        <v>5.12</v>
      </c>
      <c r="J653" s="34"/>
    </row>
    <row r="654" spans="1:10" x14ac:dyDescent="0.25">
      <c r="A654" s="34" t="s">
        <v>164</v>
      </c>
      <c r="B654" s="34" t="s">
        <v>165</v>
      </c>
      <c r="C654" t="s">
        <v>253</v>
      </c>
      <c r="D654" t="s">
        <v>184</v>
      </c>
      <c r="E654" t="s">
        <v>167</v>
      </c>
      <c r="F654" t="s">
        <v>243</v>
      </c>
      <c r="G654" t="s">
        <v>169</v>
      </c>
      <c r="H654">
        <v>321</v>
      </c>
      <c r="I654" s="34">
        <f>+POWER_Regional_Daily_20150101_20190305_c11b3312[[#This Row],[Column8]]/100</f>
        <v>3.21</v>
      </c>
      <c r="J654" s="34"/>
    </row>
    <row r="655" spans="1:10" x14ac:dyDescent="0.25">
      <c r="A655" s="34" t="s">
        <v>164</v>
      </c>
      <c r="B655" s="34" t="s">
        <v>165</v>
      </c>
      <c r="C655" t="s">
        <v>253</v>
      </c>
      <c r="D655" t="s">
        <v>184</v>
      </c>
      <c r="E655" t="s">
        <v>170</v>
      </c>
      <c r="F655" t="s">
        <v>235</v>
      </c>
      <c r="G655" t="s">
        <v>169</v>
      </c>
      <c r="H655">
        <v>507</v>
      </c>
      <c r="I655" s="34">
        <f>+POWER_Regional_Daily_20150101_20190305_c11b3312[[#This Row],[Column8]]/100</f>
        <v>5.07</v>
      </c>
      <c r="J655" s="34"/>
    </row>
    <row r="656" spans="1:10" x14ac:dyDescent="0.25">
      <c r="A656" s="34" t="s">
        <v>164</v>
      </c>
      <c r="B656" s="34" t="s">
        <v>165</v>
      </c>
      <c r="C656" t="s">
        <v>253</v>
      </c>
      <c r="D656" t="s">
        <v>184</v>
      </c>
      <c r="E656" t="s">
        <v>172</v>
      </c>
      <c r="F656" t="s">
        <v>183</v>
      </c>
      <c r="G656" t="s">
        <v>169</v>
      </c>
      <c r="H656">
        <v>584</v>
      </c>
      <c r="I656" s="34">
        <f>+POWER_Regional_Daily_20150101_20190305_c11b3312[[#This Row],[Column8]]/100</f>
        <v>5.84</v>
      </c>
      <c r="J656" s="34"/>
    </row>
    <row r="657" spans="1:10" x14ac:dyDescent="0.25">
      <c r="A657" s="34" t="s">
        <v>164</v>
      </c>
      <c r="B657" s="34" t="s">
        <v>165</v>
      </c>
      <c r="C657" t="s">
        <v>253</v>
      </c>
      <c r="D657" t="s">
        <v>184</v>
      </c>
      <c r="E657" t="s">
        <v>174</v>
      </c>
      <c r="F657" t="s">
        <v>201</v>
      </c>
      <c r="G657" t="s">
        <v>169</v>
      </c>
      <c r="H657">
        <v>541</v>
      </c>
      <c r="I657" s="34">
        <f>+POWER_Regional_Daily_20150101_20190305_c11b3312[[#This Row],[Column8]]/100</f>
        <v>5.41</v>
      </c>
      <c r="J657" s="34"/>
    </row>
    <row r="658" spans="1:10" x14ac:dyDescent="0.25">
      <c r="A658" s="34" t="s">
        <v>164</v>
      </c>
      <c r="B658" s="34" t="s">
        <v>165</v>
      </c>
      <c r="C658" t="s">
        <v>253</v>
      </c>
      <c r="D658" t="s">
        <v>184</v>
      </c>
      <c r="E658" t="s">
        <v>175</v>
      </c>
      <c r="F658" t="s">
        <v>193</v>
      </c>
      <c r="G658" t="s">
        <v>169</v>
      </c>
      <c r="H658">
        <v>410</v>
      </c>
      <c r="I658" s="34">
        <f>+POWER_Regional_Daily_20150101_20190305_c11b3312[[#This Row],[Column8]]/100</f>
        <v>4.0999999999999996</v>
      </c>
      <c r="J658" s="34"/>
    </row>
    <row r="659" spans="1:10" x14ac:dyDescent="0.25">
      <c r="A659" s="34" t="s">
        <v>164</v>
      </c>
      <c r="B659" s="34" t="s">
        <v>165</v>
      </c>
      <c r="C659" t="s">
        <v>253</v>
      </c>
      <c r="D659" t="s">
        <v>184</v>
      </c>
      <c r="E659" t="s">
        <v>177</v>
      </c>
      <c r="F659" t="s">
        <v>233</v>
      </c>
      <c r="G659" t="s">
        <v>169</v>
      </c>
      <c r="H659">
        <v>466</v>
      </c>
      <c r="I659" s="34">
        <f>+POWER_Regional_Daily_20150101_20190305_c11b3312[[#This Row],[Column8]]/100</f>
        <v>4.66</v>
      </c>
      <c r="J659" s="34"/>
    </row>
    <row r="660" spans="1:10" x14ac:dyDescent="0.25">
      <c r="A660" s="34" t="s">
        <v>164</v>
      </c>
      <c r="B660" s="34" t="s">
        <v>165</v>
      </c>
      <c r="C660" t="s">
        <v>253</v>
      </c>
      <c r="D660" t="s">
        <v>184</v>
      </c>
      <c r="E660" t="s">
        <v>178</v>
      </c>
      <c r="F660" t="s">
        <v>227</v>
      </c>
      <c r="G660" t="s">
        <v>169</v>
      </c>
      <c r="H660">
        <v>339</v>
      </c>
      <c r="I660" s="34">
        <f>+POWER_Regional_Daily_20150101_20190305_c11b3312[[#This Row],[Column8]]/100</f>
        <v>3.39</v>
      </c>
      <c r="J660" s="34"/>
    </row>
    <row r="661" spans="1:10" x14ac:dyDescent="0.25">
      <c r="A661" s="34" t="s">
        <v>164</v>
      </c>
      <c r="B661" s="34" t="s">
        <v>165</v>
      </c>
      <c r="C661" t="s">
        <v>253</v>
      </c>
      <c r="D661" t="s">
        <v>184</v>
      </c>
      <c r="E661" t="s">
        <v>180</v>
      </c>
      <c r="F661" t="s">
        <v>197</v>
      </c>
      <c r="G661" t="s">
        <v>169</v>
      </c>
      <c r="H661">
        <v>452</v>
      </c>
      <c r="I661" s="34">
        <f>+POWER_Regional_Daily_20150101_20190305_c11b3312[[#This Row],[Column8]]/100</f>
        <v>4.5199999999999996</v>
      </c>
      <c r="J661" s="34"/>
    </row>
    <row r="662" spans="1:10" x14ac:dyDescent="0.25">
      <c r="A662" s="34" t="s">
        <v>164</v>
      </c>
      <c r="B662" s="34" t="s">
        <v>165</v>
      </c>
      <c r="C662" t="s">
        <v>253</v>
      </c>
      <c r="D662" t="s">
        <v>184</v>
      </c>
      <c r="E662" t="s">
        <v>182</v>
      </c>
      <c r="F662" t="s">
        <v>239</v>
      </c>
      <c r="G662" t="s">
        <v>169</v>
      </c>
      <c r="H662">
        <v>361</v>
      </c>
      <c r="I662" s="34">
        <f>+POWER_Regional_Daily_20150101_20190305_c11b3312[[#This Row],[Column8]]/100</f>
        <v>3.61</v>
      </c>
      <c r="J662" s="34"/>
    </row>
    <row r="663" spans="1:10" x14ac:dyDescent="0.25">
      <c r="A663" s="34" t="s">
        <v>164</v>
      </c>
      <c r="B663" s="34" t="s">
        <v>165</v>
      </c>
      <c r="C663" t="s">
        <v>253</v>
      </c>
      <c r="D663" t="s">
        <v>184</v>
      </c>
      <c r="E663" t="s">
        <v>184</v>
      </c>
      <c r="F663" t="s">
        <v>195</v>
      </c>
      <c r="G663" t="s">
        <v>169</v>
      </c>
      <c r="H663">
        <v>475</v>
      </c>
      <c r="I663" s="34">
        <f>+POWER_Regional_Daily_20150101_20190305_c11b3312[[#This Row],[Column8]]/100</f>
        <v>4.75</v>
      </c>
      <c r="J663" s="34"/>
    </row>
    <row r="664" spans="1:10" x14ac:dyDescent="0.25">
      <c r="A664" s="34" t="s">
        <v>164</v>
      </c>
      <c r="B664" s="34" t="s">
        <v>165</v>
      </c>
      <c r="C664" t="s">
        <v>253</v>
      </c>
      <c r="D664" t="s">
        <v>184</v>
      </c>
      <c r="E664" t="s">
        <v>186</v>
      </c>
      <c r="F664" t="s">
        <v>211</v>
      </c>
      <c r="G664" t="s">
        <v>169</v>
      </c>
      <c r="H664">
        <v>421</v>
      </c>
      <c r="I664" s="34">
        <f>+POWER_Regional_Daily_20150101_20190305_c11b3312[[#This Row],[Column8]]/100</f>
        <v>4.21</v>
      </c>
      <c r="J664" s="34"/>
    </row>
    <row r="665" spans="1:10" x14ac:dyDescent="0.25">
      <c r="A665" s="34" t="s">
        <v>164</v>
      </c>
      <c r="B665" s="34" t="s">
        <v>165</v>
      </c>
      <c r="C665" t="s">
        <v>253</v>
      </c>
      <c r="D665" t="s">
        <v>184</v>
      </c>
      <c r="E665" t="s">
        <v>188</v>
      </c>
      <c r="F665" t="s">
        <v>187</v>
      </c>
      <c r="G665" t="s">
        <v>169</v>
      </c>
      <c r="H665">
        <v>-999</v>
      </c>
      <c r="I665" s="34">
        <f>+POWER_Regional_Daily_20150101_20190305_c11b3312[[#This Row],[Column8]]/100</f>
        <v>-9.99</v>
      </c>
      <c r="J665" s="34"/>
    </row>
    <row r="666" spans="1:10" x14ac:dyDescent="0.25">
      <c r="A666" s="34" t="s">
        <v>164</v>
      </c>
      <c r="B666" s="34" t="s">
        <v>165</v>
      </c>
      <c r="C666" t="s">
        <v>253</v>
      </c>
      <c r="D666" t="s">
        <v>184</v>
      </c>
      <c r="E666" t="s">
        <v>190</v>
      </c>
      <c r="F666" t="s">
        <v>209</v>
      </c>
      <c r="G666" t="s">
        <v>169</v>
      </c>
      <c r="H666">
        <v>517</v>
      </c>
      <c r="I666" s="34">
        <f>+POWER_Regional_Daily_20150101_20190305_c11b3312[[#This Row],[Column8]]/100</f>
        <v>5.17</v>
      </c>
      <c r="J666" s="34"/>
    </row>
    <row r="667" spans="1:10" x14ac:dyDescent="0.25">
      <c r="A667" s="34" t="s">
        <v>164</v>
      </c>
      <c r="B667" s="34" t="s">
        <v>165</v>
      </c>
      <c r="C667" t="s">
        <v>253</v>
      </c>
      <c r="D667" t="s">
        <v>184</v>
      </c>
      <c r="E667" t="s">
        <v>192</v>
      </c>
      <c r="F667" t="s">
        <v>232</v>
      </c>
      <c r="G667" t="s">
        <v>169</v>
      </c>
      <c r="H667">
        <v>609</v>
      </c>
      <c r="I667" s="34">
        <f>+POWER_Regional_Daily_20150101_20190305_c11b3312[[#This Row],[Column8]]/100</f>
        <v>6.09</v>
      </c>
      <c r="J667" s="34"/>
    </row>
    <row r="668" spans="1:10" x14ac:dyDescent="0.25">
      <c r="A668" s="34" t="s">
        <v>164</v>
      </c>
      <c r="B668" s="34" t="s">
        <v>165</v>
      </c>
      <c r="C668" t="s">
        <v>253</v>
      </c>
      <c r="D668" t="s">
        <v>184</v>
      </c>
      <c r="E668" t="s">
        <v>194</v>
      </c>
      <c r="F668" t="s">
        <v>195</v>
      </c>
      <c r="G668" t="s">
        <v>169</v>
      </c>
      <c r="H668">
        <v>471</v>
      </c>
      <c r="I668" s="34">
        <f>+POWER_Regional_Daily_20150101_20190305_c11b3312[[#This Row],[Column8]]/100</f>
        <v>4.71</v>
      </c>
      <c r="J668" s="34"/>
    </row>
    <row r="669" spans="1:10" x14ac:dyDescent="0.25">
      <c r="A669" s="34" t="s">
        <v>164</v>
      </c>
      <c r="B669" s="34" t="s">
        <v>165</v>
      </c>
      <c r="C669" t="s">
        <v>253</v>
      </c>
      <c r="D669" t="s">
        <v>184</v>
      </c>
      <c r="E669" t="s">
        <v>196</v>
      </c>
      <c r="F669" t="s">
        <v>231</v>
      </c>
      <c r="G669" t="s">
        <v>169</v>
      </c>
      <c r="H669">
        <v>485</v>
      </c>
      <c r="I669" s="34">
        <f>+POWER_Regional_Daily_20150101_20190305_c11b3312[[#This Row],[Column8]]/100</f>
        <v>4.8499999999999996</v>
      </c>
      <c r="J669" s="34"/>
    </row>
    <row r="670" spans="1:10" x14ac:dyDescent="0.25">
      <c r="A670" s="34" t="s">
        <v>164</v>
      </c>
      <c r="B670" s="34" t="s">
        <v>165</v>
      </c>
      <c r="C670" t="s">
        <v>253</v>
      </c>
      <c r="D670" t="s">
        <v>184</v>
      </c>
      <c r="E670" t="s">
        <v>198</v>
      </c>
      <c r="F670" t="s">
        <v>223</v>
      </c>
      <c r="G670" t="s">
        <v>169</v>
      </c>
      <c r="H670">
        <v>490</v>
      </c>
      <c r="I670" s="34">
        <f>+POWER_Regional_Daily_20150101_20190305_c11b3312[[#This Row],[Column8]]/100</f>
        <v>4.9000000000000004</v>
      </c>
      <c r="J670" s="34"/>
    </row>
    <row r="671" spans="1:10" x14ac:dyDescent="0.25">
      <c r="A671" s="34" t="s">
        <v>164</v>
      </c>
      <c r="B671" s="34" t="s">
        <v>165</v>
      </c>
      <c r="C671" t="s">
        <v>253</v>
      </c>
      <c r="D671" t="s">
        <v>184</v>
      </c>
      <c r="E671" t="s">
        <v>199</v>
      </c>
      <c r="F671" t="s">
        <v>299</v>
      </c>
      <c r="G671" t="s">
        <v>169</v>
      </c>
      <c r="H671">
        <v>201</v>
      </c>
      <c r="I671" s="34">
        <f>+POWER_Regional_Daily_20150101_20190305_c11b3312[[#This Row],[Column8]]/100</f>
        <v>2.0099999999999998</v>
      </c>
      <c r="J671" s="34"/>
    </row>
    <row r="672" spans="1:10" x14ac:dyDescent="0.25">
      <c r="A672" s="34" t="s">
        <v>164</v>
      </c>
      <c r="B672" s="34" t="s">
        <v>165</v>
      </c>
      <c r="C672" t="s">
        <v>253</v>
      </c>
      <c r="D672" t="s">
        <v>184</v>
      </c>
      <c r="E672" t="s">
        <v>200</v>
      </c>
      <c r="F672" t="s">
        <v>218</v>
      </c>
      <c r="G672" t="s">
        <v>169</v>
      </c>
      <c r="H672">
        <v>578</v>
      </c>
      <c r="I672" s="34">
        <f>+POWER_Regional_Daily_20150101_20190305_c11b3312[[#This Row],[Column8]]/100</f>
        <v>5.78</v>
      </c>
      <c r="J672" s="34"/>
    </row>
    <row r="673" spans="1:10" x14ac:dyDescent="0.25">
      <c r="A673" s="34" t="s">
        <v>164</v>
      </c>
      <c r="B673" s="34" t="s">
        <v>165</v>
      </c>
      <c r="C673" t="s">
        <v>253</v>
      </c>
      <c r="D673" t="s">
        <v>184</v>
      </c>
      <c r="E673" t="s">
        <v>202</v>
      </c>
      <c r="F673" t="s">
        <v>231</v>
      </c>
      <c r="G673" t="s">
        <v>169</v>
      </c>
      <c r="H673">
        <v>482</v>
      </c>
      <c r="I673" s="34">
        <f>+POWER_Regional_Daily_20150101_20190305_c11b3312[[#This Row],[Column8]]/100</f>
        <v>4.82</v>
      </c>
      <c r="J673" s="34"/>
    </row>
    <row r="674" spans="1:10" x14ac:dyDescent="0.25">
      <c r="A674" s="34" t="s">
        <v>164</v>
      </c>
      <c r="B674" s="34" t="s">
        <v>165</v>
      </c>
      <c r="C674" t="s">
        <v>253</v>
      </c>
      <c r="D674" t="s">
        <v>184</v>
      </c>
      <c r="E674" t="s">
        <v>203</v>
      </c>
      <c r="F674" t="s">
        <v>204</v>
      </c>
      <c r="G674" t="s">
        <v>169</v>
      </c>
      <c r="H674">
        <v>425</v>
      </c>
      <c r="I674" s="34">
        <f>+POWER_Regional_Daily_20150101_20190305_c11b3312[[#This Row],[Column8]]/100</f>
        <v>4.25</v>
      </c>
      <c r="J674" s="34"/>
    </row>
    <row r="675" spans="1:10" x14ac:dyDescent="0.25">
      <c r="A675" s="34" t="s">
        <v>164</v>
      </c>
      <c r="B675" s="34" t="s">
        <v>165</v>
      </c>
      <c r="C675" t="s">
        <v>253</v>
      </c>
      <c r="D675" t="s">
        <v>184</v>
      </c>
      <c r="E675" t="s">
        <v>205</v>
      </c>
      <c r="F675" t="s">
        <v>235</v>
      </c>
      <c r="G675" t="s">
        <v>169</v>
      </c>
      <c r="H675">
        <v>496</v>
      </c>
      <c r="I675" s="34">
        <f>+POWER_Regional_Daily_20150101_20190305_c11b3312[[#This Row],[Column8]]/100</f>
        <v>4.96</v>
      </c>
      <c r="J675" s="34"/>
    </row>
    <row r="676" spans="1:10" x14ac:dyDescent="0.25">
      <c r="A676" s="34" t="s">
        <v>164</v>
      </c>
      <c r="B676" s="34" t="s">
        <v>165</v>
      </c>
      <c r="C676" t="s">
        <v>253</v>
      </c>
      <c r="D676" t="s">
        <v>184</v>
      </c>
      <c r="E676" t="s">
        <v>207</v>
      </c>
      <c r="F676" t="s">
        <v>224</v>
      </c>
      <c r="G676" t="s">
        <v>169</v>
      </c>
      <c r="H676">
        <v>449</v>
      </c>
      <c r="I676" s="34">
        <f>+POWER_Regional_Daily_20150101_20190305_c11b3312[[#This Row],[Column8]]/100</f>
        <v>4.49</v>
      </c>
      <c r="J676" s="34"/>
    </row>
    <row r="677" spans="1:10" x14ac:dyDescent="0.25">
      <c r="A677" s="34" t="s">
        <v>164</v>
      </c>
      <c r="B677" s="34" t="s">
        <v>165</v>
      </c>
      <c r="C677" t="s">
        <v>253</v>
      </c>
      <c r="D677" t="s">
        <v>184</v>
      </c>
      <c r="E677" t="s">
        <v>208</v>
      </c>
      <c r="F677" t="s">
        <v>235</v>
      </c>
      <c r="G677" t="s">
        <v>169</v>
      </c>
      <c r="H677">
        <v>496</v>
      </c>
      <c r="I677" s="34">
        <f>+POWER_Regional_Daily_20150101_20190305_c11b3312[[#This Row],[Column8]]/100</f>
        <v>4.96</v>
      </c>
      <c r="J677" s="34"/>
    </row>
    <row r="678" spans="1:10" x14ac:dyDescent="0.25">
      <c r="A678" s="34" t="s">
        <v>164</v>
      </c>
      <c r="B678" s="34" t="s">
        <v>165</v>
      </c>
      <c r="C678" t="s">
        <v>253</v>
      </c>
      <c r="D678" t="s">
        <v>184</v>
      </c>
      <c r="E678" t="s">
        <v>210</v>
      </c>
      <c r="F678" t="s">
        <v>226</v>
      </c>
      <c r="G678" t="s">
        <v>169</v>
      </c>
      <c r="H678">
        <v>217</v>
      </c>
      <c r="I678" s="34">
        <f>+POWER_Regional_Daily_20150101_20190305_c11b3312[[#This Row],[Column8]]/100</f>
        <v>2.17</v>
      </c>
      <c r="J678" s="34"/>
    </row>
    <row r="679" spans="1:10" x14ac:dyDescent="0.25">
      <c r="A679" s="34" t="s">
        <v>164</v>
      </c>
      <c r="B679" s="34" t="s">
        <v>165</v>
      </c>
      <c r="C679" t="s">
        <v>253</v>
      </c>
      <c r="D679" t="s">
        <v>184</v>
      </c>
      <c r="E679" t="s">
        <v>212</v>
      </c>
      <c r="F679" t="s">
        <v>224</v>
      </c>
      <c r="G679" t="s">
        <v>169</v>
      </c>
      <c r="H679">
        <v>450</v>
      </c>
      <c r="I679" s="34">
        <f>+POWER_Regional_Daily_20150101_20190305_c11b3312[[#This Row],[Column8]]/100</f>
        <v>4.5</v>
      </c>
      <c r="J679" s="34"/>
    </row>
    <row r="680" spans="1:10" x14ac:dyDescent="0.25">
      <c r="A680" s="34" t="s">
        <v>164</v>
      </c>
      <c r="B680" s="34" t="s">
        <v>165</v>
      </c>
      <c r="C680" t="s">
        <v>253</v>
      </c>
      <c r="D680" t="s">
        <v>184</v>
      </c>
      <c r="E680" t="s">
        <v>214</v>
      </c>
      <c r="F680" t="s">
        <v>201</v>
      </c>
      <c r="G680" t="s">
        <v>169</v>
      </c>
      <c r="H680">
        <v>527</v>
      </c>
      <c r="I680" s="34">
        <f>+POWER_Regional_Daily_20150101_20190305_c11b3312[[#This Row],[Column8]]/100</f>
        <v>5.27</v>
      </c>
      <c r="J680" s="34"/>
    </row>
    <row r="681" spans="1:10" x14ac:dyDescent="0.25">
      <c r="A681" s="34" t="s">
        <v>164</v>
      </c>
      <c r="B681" s="34" t="s">
        <v>165</v>
      </c>
      <c r="C681" t="s">
        <v>253</v>
      </c>
      <c r="D681" t="s">
        <v>184</v>
      </c>
      <c r="E681" t="s">
        <v>215</v>
      </c>
      <c r="F681" t="s">
        <v>187</v>
      </c>
      <c r="G681" t="s">
        <v>169</v>
      </c>
      <c r="H681">
        <v>-999</v>
      </c>
      <c r="I681" s="34">
        <f>+POWER_Regional_Daily_20150101_20190305_c11b3312[[#This Row],[Column8]]/100</f>
        <v>-9.99</v>
      </c>
      <c r="J681" s="34"/>
    </row>
    <row r="682" spans="1:10" x14ac:dyDescent="0.25">
      <c r="A682" s="34" t="s">
        <v>164</v>
      </c>
      <c r="B682" s="34" t="s">
        <v>165</v>
      </c>
      <c r="C682" t="s">
        <v>253</v>
      </c>
      <c r="D682" t="s">
        <v>184</v>
      </c>
      <c r="E682" t="s">
        <v>217</v>
      </c>
      <c r="F682" t="s">
        <v>221</v>
      </c>
      <c r="G682" t="s">
        <v>169</v>
      </c>
      <c r="H682">
        <v>407</v>
      </c>
      <c r="I682" s="34">
        <f>+POWER_Regional_Daily_20150101_20190305_c11b3312[[#This Row],[Column8]]/100</f>
        <v>4.07</v>
      </c>
      <c r="J682" s="34"/>
    </row>
    <row r="683" spans="1:10" x14ac:dyDescent="0.25">
      <c r="A683" s="34" t="s">
        <v>164</v>
      </c>
      <c r="B683" s="34" t="s">
        <v>165</v>
      </c>
      <c r="C683" t="s">
        <v>253</v>
      </c>
      <c r="D683" t="s">
        <v>184</v>
      </c>
      <c r="E683" t="s">
        <v>219</v>
      </c>
      <c r="F683" t="s">
        <v>209</v>
      </c>
      <c r="G683" t="s">
        <v>169</v>
      </c>
      <c r="H683">
        <v>502</v>
      </c>
      <c r="I683" s="34">
        <f>+POWER_Regional_Daily_20150101_20190305_c11b3312[[#This Row],[Column8]]/100</f>
        <v>5.0199999999999996</v>
      </c>
      <c r="J683" s="34"/>
    </row>
    <row r="684" spans="1:10" x14ac:dyDescent="0.25">
      <c r="A684" s="34" t="s">
        <v>164</v>
      </c>
      <c r="B684" s="34" t="s">
        <v>165</v>
      </c>
      <c r="C684" t="s">
        <v>253</v>
      </c>
      <c r="D684" t="s">
        <v>184</v>
      </c>
      <c r="E684" t="s">
        <v>220</v>
      </c>
      <c r="F684" t="s">
        <v>204</v>
      </c>
      <c r="G684" t="s">
        <v>169</v>
      </c>
      <c r="H684">
        <v>420</v>
      </c>
      <c r="I684" s="34">
        <f>+POWER_Regional_Daily_20150101_20190305_c11b3312[[#This Row],[Column8]]/100</f>
        <v>4.2</v>
      </c>
      <c r="J684" s="34"/>
    </row>
    <row r="685" spans="1:10" x14ac:dyDescent="0.25">
      <c r="A685" s="34" t="s">
        <v>164</v>
      </c>
      <c r="B685" s="34" t="s">
        <v>165</v>
      </c>
      <c r="C685" t="s">
        <v>253</v>
      </c>
      <c r="D685" t="s">
        <v>186</v>
      </c>
      <c r="E685" t="s">
        <v>167</v>
      </c>
      <c r="F685" t="s">
        <v>239</v>
      </c>
      <c r="G685" t="s">
        <v>169</v>
      </c>
      <c r="H685">
        <v>349</v>
      </c>
      <c r="I685" s="34">
        <f>+POWER_Regional_Daily_20150101_20190305_c11b3312[[#This Row],[Column8]]/100</f>
        <v>3.49</v>
      </c>
      <c r="J685" s="34"/>
    </row>
    <row r="686" spans="1:10" x14ac:dyDescent="0.25">
      <c r="A686" s="34" t="s">
        <v>164</v>
      </c>
      <c r="B686" s="34" t="s">
        <v>165</v>
      </c>
      <c r="C686" t="s">
        <v>253</v>
      </c>
      <c r="D686" t="s">
        <v>186</v>
      </c>
      <c r="E686" t="s">
        <v>170</v>
      </c>
      <c r="F686" t="s">
        <v>197</v>
      </c>
      <c r="G686" t="s">
        <v>169</v>
      </c>
      <c r="H686">
        <v>426</v>
      </c>
      <c r="I686" s="34">
        <f>+POWER_Regional_Daily_20150101_20190305_c11b3312[[#This Row],[Column8]]/100</f>
        <v>4.26</v>
      </c>
      <c r="J686" s="34"/>
    </row>
    <row r="687" spans="1:10" x14ac:dyDescent="0.25">
      <c r="A687" s="34" t="s">
        <v>164</v>
      </c>
      <c r="B687" s="34" t="s">
        <v>165</v>
      </c>
      <c r="C687" t="s">
        <v>253</v>
      </c>
      <c r="D687" t="s">
        <v>186</v>
      </c>
      <c r="E687" t="s">
        <v>172</v>
      </c>
      <c r="F687" t="s">
        <v>209</v>
      </c>
      <c r="G687" t="s">
        <v>169</v>
      </c>
      <c r="H687">
        <v>495</v>
      </c>
      <c r="I687" s="34">
        <f>+POWER_Regional_Daily_20150101_20190305_c11b3312[[#This Row],[Column8]]/100</f>
        <v>4.95</v>
      </c>
      <c r="J687" s="34"/>
    </row>
    <row r="688" spans="1:10" x14ac:dyDescent="0.25">
      <c r="A688" s="34" t="s">
        <v>164</v>
      </c>
      <c r="B688" s="34" t="s">
        <v>165</v>
      </c>
      <c r="C688" t="s">
        <v>253</v>
      </c>
      <c r="D688" t="s">
        <v>186</v>
      </c>
      <c r="E688" t="s">
        <v>174</v>
      </c>
      <c r="F688" t="s">
        <v>204</v>
      </c>
      <c r="G688" t="s">
        <v>169</v>
      </c>
      <c r="H688">
        <v>414</v>
      </c>
      <c r="I688" s="34">
        <f>+POWER_Regional_Daily_20150101_20190305_c11b3312[[#This Row],[Column8]]/100</f>
        <v>4.1399999999999997</v>
      </c>
      <c r="J688" s="34"/>
    </row>
    <row r="689" spans="1:10" x14ac:dyDescent="0.25">
      <c r="A689" s="34" t="s">
        <v>164</v>
      </c>
      <c r="B689" s="34" t="s">
        <v>165</v>
      </c>
      <c r="C689" t="s">
        <v>253</v>
      </c>
      <c r="D689" t="s">
        <v>186</v>
      </c>
      <c r="E689" t="s">
        <v>175</v>
      </c>
      <c r="F689" t="s">
        <v>197</v>
      </c>
      <c r="G689" t="s">
        <v>169</v>
      </c>
      <c r="H689">
        <v>426</v>
      </c>
      <c r="I689" s="34">
        <f>+POWER_Regional_Daily_20150101_20190305_c11b3312[[#This Row],[Column8]]/100</f>
        <v>4.26</v>
      </c>
      <c r="J689" s="34"/>
    </row>
    <row r="690" spans="1:10" x14ac:dyDescent="0.25">
      <c r="A690" s="34" t="s">
        <v>164</v>
      </c>
      <c r="B690" s="34" t="s">
        <v>165</v>
      </c>
      <c r="C690" t="s">
        <v>253</v>
      </c>
      <c r="D690" t="s">
        <v>186</v>
      </c>
      <c r="E690" t="s">
        <v>177</v>
      </c>
      <c r="F690" t="s">
        <v>229</v>
      </c>
      <c r="G690" t="s">
        <v>169</v>
      </c>
      <c r="H690">
        <v>338</v>
      </c>
      <c r="I690" s="34">
        <f>+POWER_Regional_Daily_20150101_20190305_c11b3312[[#This Row],[Column8]]/100</f>
        <v>3.38</v>
      </c>
      <c r="J690" s="34"/>
    </row>
    <row r="691" spans="1:10" x14ac:dyDescent="0.25">
      <c r="A691" s="34" t="s">
        <v>164</v>
      </c>
      <c r="B691" s="34" t="s">
        <v>165</v>
      </c>
      <c r="C691" t="s">
        <v>253</v>
      </c>
      <c r="D691" t="s">
        <v>186</v>
      </c>
      <c r="E691" t="s">
        <v>178</v>
      </c>
      <c r="F691" t="s">
        <v>206</v>
      </c>
      <c r="G691" t="s">
        <v>169</v>
      </c>
      <c r="H691">
        <v>381</v>
      </c>
      <c r="I691" s="34">
        <f>+POWER_Regional_Daily_20150101_20190305_c11b3312[[#This Row],[Column8]]/100</f>
        <v>3.81</v>
      </c>
      <c r="J691" s="34"/>
    </row>
    <row r="692" spans="1:10" x14ac:dyDescent="0.25">
      <c r="A692" s="34" t="s">
        <v>164</v>
      </c>
      <c r="B692" s="34" t="s">
        <v>165</v>
      </c>
      <c r="C692" t="s">
        <v>253</v>
      </c>
      <c r="D692" t="s">
        <v>186</v>
      </c>
      <c r="E692" t="s">
        <v>180</v>
      </c>
      <c r="F692" t="s">
        <v>195</v>
      </c>
      <c r="G692" t="s">
        <v>169</v>
      </c>
      <c r="H692">
        <v>453</v>
      </c>
      <c r="I692" s="34">
        <f>+POWER_Regional_Daily_20150101_20190305_c11b3312[[#This Row],[Column8]]/100</f>
        <v>4.53</v>
      </c>
      <c r="J692" s="34"/>
    </row>
    <row r="693" spans="1:10" x14ac:dyDescent="0.25">
      <c r="A693" s="34" t="s">
        <v>164</v>
      </c>
      <c r="B693" s="34" t="s">
        <v>165</v>
      </c>
      <c r="C693" t="s">
        <v>253</v>
      </c>
      <c r="D693" t="s">
        <v>186</v>
      </c>
      <c r="E693" t="s">
        <v>182</v>
      </c>
      <c r="F693" t="s">
        <v>235</v>
      </c>
      <c r="G693" t="s">
        <v>169</v>
      </c>
      <c r="H693">
        <v>481</v>
      </c>
      <c r="I693" s="34">
        <f>+POWER_Regional_Daily_20150101_20190305_c11b3312[[#This Row],[Column8]]/100</f>
        <v>4.8099999999999996</v>
      </c>
      <c r="J693" s="34"/>
    </row>
    <row r="694" spans="1:10" x14ac:dyDescent="0.25">
      <c r="A694" s="34" t="s">
        <v>164</v>
      </c>
      <c r="B694" s="34" t="s">
        <v>165</v>
      </c>
      <c r="C694" t="s">
        <v>253</v>
      </c>
      <c r="D694" t="s">
        <v>186</v>
      </c>
      <c r="E694" t="s">
        <v>184</v>
      </c>
      <c r="F694" t="s">
        <v>187</v>
      </c>
      <c r="G694" t="s">
        <v>169</v>
      </c>
      <c r="H694">
        <v>-999</v>
      </c>
      <c r="I694" s="34">
        <f>+POWER_Regional_Daily_20150101_20190305_c11b3312[[#This Row],[Column8]]/100</f>
        <v>-9.99</v>
      </c>
      <c r="J694" s="34"/>
    </row>
    <row r="695" spans="1:10" x14ac:dyDescent="0.25">
      <c r="A695" s="34" t="s">
        <v>164</v>
      </c>
      <c r="B695" s="34" t="s">
        <v>165</v>
      </c>
      <c r="C695" t="s">
        <v>253</v>
      </c>
      <c r="D695" t="s">
        <v>186</v>
      </c>
      <c r="E695" t="s">
        <v>186</v>
      </c>
      <c r="F695" t="s">
        <v>263</v>
      </c>
      <c r="G695" t="s">
        <v>169</v>
      </c>
      <c r="H695">
        <v>197</v>
      </c>
      <c r="I695" s="34">
        <f>+POWER_Regional_Daily_20150101_20190305_c11b3312[[#This Row],[Column8]]/100</f>
        <v>1.97</v>
      </c>
      <c r="J695" s="34"/>
    </row>
    <row r="696" spans="1:10" x14ac:dyDescent="0.25">
      <c r="A696" s="34" t="s">
        <v>164</v>
      </c>
      <c r="B696" s="34" t="s">
        <v>165</v>
      </c>
      <c r="C696" t="s">
        <v>253</v>
      </c>
      <c r="D696" t="s">
        <v>186</v>
      </c>
      <c r="E696" t="s">
        <v>188</v>
      </c>
      <c r="F696" t="s">
        <v>206</v>
      </c>
      <c r="G696" t="s">
        <v>169</v>
      </c>
      <c r="H696">
        <v>375</v>
      </c>
      <c r="I696" s="34">
        <f>+POWER_Regional_Daily_20150101_20190305_c11b3312[[#This Row],[Column8]]/100</f>
        <v>3.75</v>
      </c>
      <c r="J696" s="34"/>
    </row>
    <row r="697" spans="1:10" x14ac:dyDescent="0.25">
      <c r="A697" s="34" t="s">
        <v>164</v>
      </c>
      <c r="B697" s="34" t="s">
        <v>165</v>
      </c>
      <c r="C697" t="s">
        <v>253</v>
      </c>
      <c r="D697" t="s">
        <v>186</v>
      </c>
      <c r="E697" t="s">
        <v>190</v>
      </c>
      <c r="F697" t="s">
        <v>187</v>
      </c>
      <c r="G697" t="s">
        <v>169</v>
      </c>
      <c r="H697">
        <v>-999</v>
      </c>
      <c r="I697" s="34">
        <f>+POWER_Regional_Daily_20150101_20190305_c11b3312[[#This Row],[Column8]]/100</f>
        <v>-9.99</v>
      </c>
      <c r="J697" s="34"/>
    </row>
    <row r="698" spans="1:10" x14ac:dyDescent="0.25">
      <c r="A698" s="34" t="s">
        <v>164</v>
      </c>
      <c r="B698" s="34" t="s">
        <v>165</v>
      </c>
      <c r="C698" t="s">
        <v>253</v>
      </c>
      <c r="D698" t="s">
        <v>186</v>
      </c>
      <c r="E698" t="s">
        <v>192</v>
      </c>
      <c r="F698" t="s">
        <v>206</v>
      </c>
      <c r="G698" t="s">
        <v>169</v>
      </c>
      <c r="H698">
        <v>371</v>
      </c>
      <c r="I698" s="34">
        <f>+POWER_Regional_Daily_20150101_20190305_c11b3312[[#This Row],[Column8]]/100</f>
        <v>3.71</v>
      </c>
      <c r="J698" s="34"/>
    </row>
    <row r="699" spans="1:10" x14ac:dyDescent="0.25">
      <c r="A699" s="34" t="s">
        <v>164</v>
      </c>
      <c r="B699" s="34" t="s">
        <v>165</v>
      </c>
      <c r="C699" t="s">
        <v>253</v>
      </c>
      <c r="D699" t="s">
        <v>186</v>
      </c>
      <c r="E699" t="s">
        <v>194</v>
      </c>
      <c r="F699" t="s">
        <v>235</v>
      </c>
      <c r="G699" t="s">
        <v>169</v>
      </c>
      <c r="H699">
        <v>472</v>
      </c>
      <c r="I699" s="34">
        <f>+POWER_Regional_Daily_20150101_20190305_c11b3312[[#This Row],[Column8]]/100</f>
        <v>4.72</v>
      </c>
      <c r="J699" s="34"/>
    </row>
    <row r="700" spans="1:10" x14ac:dyDescent="0.25">
      <c r="A700" s="34" t="s">
        <v>164</v>
      </c>
      <c r="B700" s="34" t="s">
        <v>165</v>
      </c>
      <c r="C700" t="s">
        <v>253</v>
      </c>
      <c r="D700" t="s">
        <v>186</v>
      </c>
      <c r="E700" t="s">
        <v>196</v>
      </c>
      <c r="F700" t="s">
        <v>185</v>
      </c>
      <c r="G700" t="s">
        <v>169</v>
      </c>
      <c r="H700">
        <v>581</v>
      </c>
      <c r="I700" s="34">
        <f>+POWER_Regional_Daily_20150101_20190305_c11b3312[[#This Row],[Column8]]/100</f>
        <v>5.81</v>
      </c>
      <c r="J700" s="34"/>
    </row>
    <row r="701" spans="1:10" x14ac:dyDescent="0.25">
      <c r="A701" s="34" t="s">
        <v>164</v>
      </c>
      <c r="B701" s="34" t="s">
        <v>165</v>
      </c>
      <c r="C701" t="s">
        <v>253</v>
      </c>
      <c r="D701" t="s">
        <v>186</v>
      </c>
      <c r="E701" t="s">
        <v>198</v>
      </c>
      <c r="F701" t="s">
        <v>197</v>
      </c>
      <c r="G701" t="s">
        <v>169</v>
      </c>
      <c r="H701">
        <v>416</v>
      </c>
      <c r="I701" s="34">
        <f>+POWER_Regional_Daily_20150101_20190305_c11b3312[[#This Row],[Column8]]/100</f>
        <v>4.16</v>
      </c>
      <c r="J701" s="34"/>
    </row>
    <row r="702" spans="1:10" x14ac:dyDescent="0.25">
      <c r="A702" s="34" t="s">
        <v>164</v>
      </c>
      <c r="B702" s="34" t="s">
        <v>165</v>
      </c>
      <c r="C702" t="s">
        <v>253</v>
      </c>
      <c r="D702" t="s">
        <v>186</v>
      </c>
      <c r="E702" t="s">
        <v>199</v>
      </c>
      <c r="F702" t="s">
        <v>197</v>
      </c>
      <c r="G702" t="s">
        <v>169</v>
      </c>
      <c r="H702">
        <v>418</v>
      </c>
      <c r="I702" s="34">
        <f>+POWER_Regional_Daily_20150101_20190305_c11b3312[[#This Row],[Column8]]/100</f>
        <v>4.18</v>
      </c>
      <c r="J702" s="34"/>
    </row>
    <row r="703" spans="1:10" x14ac:dyDescent="0.25">
      <c r="A703" s="34" t="s">
        <v>164</v>
      </c>
      <c r="B703" s="34" t="s">
        <v>165</v>
      </c>
      <c r="C703" t="s">
        <v>253</v>
      </c>
      <c r="D703" t="s">
        <v>186</v>
      </c>
      <c r="E703" t="s">
        <v>200</v>
      </c>
      <c r="F703" t="s">
        <v>243</v>
      </c>
      <c r="G703" t="s">
        <v>169</v>
      </c>
      <c r="H703">
        <v>296</v>
      </c>
      <c r="I703" s="34">
        <f>+POWER_Regional_Daily_20150101_20190305_c11b3312[[#This Row],[Column8]]/100</f>
        <v>2.96</v>
      </c>
      <c r="J703" s="34"/>
    </row>
    <row r="704" spans="1:10" x14ac:dyDescent="0.25">
      <c r="A704" s="34" t="s">
        <v>164</v>
      </c>
      <c r="B704" s="34" t="s">
        <v>165</v>
      </c>
      <c r="C704" t="s">
        <v>253</v>
      </c>
      <c r="D704" t="s">
        <v>186</v>
      </c>
      <c r="E704" t="s">
        <v>202</v>
      </c>
      <c r="F704" t="s">
        <v>206</v>
      </c>
      <c r="G704" t="s">
        <v>169</v>
      </c>
      <c r="H704">
        <v>367</v>
      </c>
      <c r="I704" s="34">
        <f>+POWER_Regional_Daily_20150101_20190305_c11b3312[[#This Row],[Column8]]/100</f>
        <v>3.67</v>
      </c>
      <c r="J704" s="34"/>
    </row>
    <row r="705" spans="1:10" x14ac:dyDescent="0.25">
      <c r="A705" s="34" t="s">
        <v>164</v>
      </c>
      <c r="B705" s="34" t="s">
        <v>165</v>
      </c>
      <c r="C705" t="s">
        <v>253</v>
      </c>
      <c r="D705" t="s">
        <v>186</v>
      </c>
      <c r="E705" t="s">
        <v>203</v>
      </c>
      <c r="F705" t="s">
        <v>171</v>
      </c>
      <c r="G705" t="s">
        <v>315</v>
      </c>
      <c r="H705">
        <v>646</v>
      </c>
      <c r="I705" s="34">
        <f>+POWER_Regional_Daily_20150101_20190305_c11b3312[[#This Row],[Column8]]/100</f>
        <v>6.46</v>
      </c>
      <c r="J705" s="34"/>
    </row>
    <row r="706" spans="1:10" x14ac:dyDescent="0.25">
      <c r="A706" s="34" t="s">
        <v>164</v>
      </c>
      <c r="B706" s="34" t="s">
        <v>165</v>
      </c>
      <c r="C706" t="s">
        <v>253</v>
      </c>
      <c r="D706" t="s">
        <v>186</v>
      </c>
      <c r="E706" t="s">
        <v>205</v>
      </c>
      <c r="F706" t="s">
        <v>173</v>
      </c>
      <c r="G706" t="s">
        <v>169</v>
      </c>
      <c r="H706">
        <v>657</v>
      </c>
      <c r="I706" s="34">
        <f>+POWER_Regional_Daily_20150101_20190305_c11b3312[[#This Row],[Column8]]/100</f>
        <v>6.57</v>
      </c>
      <c r="J706" s="34"/>
    </row>
    <row r="707" spans="1:10" x14ac:dyDescent="0.25">
      <c r="A707" s="34" t="s">
        <v>164</v>
      </c>
      <c r="B707" s="34" t="s">
        <v>165</v>
      </c>
      <c r="C707" t="s">
        <v>253</v>
      </c>
      <c r="D707" t="s">
        <v>186</v>
      </c>
      <c r="E707" t="s">
        <v>207</v>
      </c>
      <c r="F707" t="s">
        <v>231</v>
      </c>
      <c r="G707" t="s">
        <v>169</v>
      </c>
      <c r="H707">
        <v>452</v>
      </c>
      <c r="I707" s="34">
        <f>+POWER_Regional_Daily_20150101_20190305_c11b3312[[#This Row],[Column8]]/100</f>
        <v>4.5199999999999996</v>
      </c>
      <c r="J707" s="34"/>
    </row>
    <row r="708" spans="1:10" x14ac:dyDescent="0.25">
      <c r="A708" s="34" t="s">
        <v>164</v>
      </c>
      <c r="B708" s="34" t="s">
        <v>165</v>
      </c>
      <c r="C708" t="s">
        <v>253</v>
      </c>
      <c r="D708" t="s">
        <v>186</v>
      </c>
      <c r="E708" t="s">
        <v>208</v>
      </c>
      <c r="F708" t="s">
        <v>211</v>
      </c>
      <c r="G708" t="s">
        <v>169</v>
      </c>
      <c r="H708">
        <v>398</v>
      </c>
      <c r="I708" s="34">
        <f>+POWER_Regional_Daily_20150101_20190305_c11b3312[[#This Row],[Column8]]/100</f>
        <v>3.98</v>
      </c>
      <c r="J708" s="34"/>
    </row>
    <row r="709" spans="1:10" x14ac:dyDescent="0.25">
      <c r="A709" s="34" t="s">
        <v>164</v>
      </c>
      <c r="B709" s="34" t="s">
        <v>165</v>
      </c>
      <c r="C709" t="s">
        <v>253</v>
      </c>
      <c r="D709" t="s">
        <v>186</v>
      </c>
      <c r="E709" t="s">
        <v>210</v>
      </c>
      <c r="F709" t="s">
        <v>246</v>
      </c>
      <c r="G709" t="s">
        <v>169</v>
      </c>
      <c r="H709">
        <v>354</v>
      </c>
      <c r="I709" s="34">
        <f>+POWER_Regional_Daily_20150101_20190305_c11b3312[[#This Row],[Column8]]/100</f>
        <v>3.54</v>
      </c>
      <c r="J709" s="34"/>
    </row>
    <row r="710" spans="1:10" x14ac:dyDescent="0.25">
      <c r="A710" s="34" t="s">
        <v>164</v>
      </c>
      <c r="B710" s="34" t="s">
        <v>165</v>
      </c>
      <c r="C710" t="s">
        <v>253</v>
      </c>
      <c r="D710" t="s">
        <v>186</v>
      </c>
      <c r="E710" t="s">
        <v>212</v>
      </c>
      <c r="F710" t="s">
        <v>191</v>
      </c>
      <c r="G710" t="s">
        <v>169</v>
      </c>
      <c r="H710">
        <v>317</v>
      </c>
      <c r="I710" s="34">
        <f>+POWER_Regional_Daily_20150101_20190305_c11b3312[[#This Row],[Column8]]/100</f>
        <v>3.17</v>
      </c>
      <c r="J710" s="34"/>
    </row>
    <row r="711" spans="1:10" x14ac:dyDescent="0.25">
      <c r="A711" s="34" t="s">
        <v>164</v>
      </c>
      <c r="B711" s="34" t="s">
        <v>165</v>
      </c>
      <c r="C711" t="s">
        <v>253</v>
      </c>
      <c r="D711" t="s">
        <v>186</v>
      </c>
      <c r="E711" t="s">
        <v>214</v>
      </c>
      <c r="F711" t="s">
        <v>204</v>
      </c>
      <c r="G711" t="s">
        <v>169</v>
      </c>
      <c r="H711">
        <v>398</v>
      </c>
      <c r="I711" s="34">
        <f>+POWER_Regional_Daily_20150101_20190305_c11b3312[[#This Row],[Column8]]/100</f>
        <v>3.98</v>
      </c>
      <c r="J711" s="34"/>
    </row>
    <row r="712" spans="1:10" x14ac:dyDescent="0.25">
      <c r="A712" s="34" t="s">
        <v>164</v>
      </c>
      <c r="B712" s="34" t="s">
        <v>165</v>
      </c>
      <c r="C712" t="s">
        <v>253</v>
      </c>
      <c r="D712" t="s">
        <v>186</v>
      </c>
      <c r="E712" t="s">
        <v>215</v>
      </c>
      <c r="F712" t="s">
        <v>211</v>
      </c>
      <c r="G712" t="s">
        <v>169</v>
      </c>
      <c r="H712">
        <v>389</v>
      </c>
      <c r="I712" s="34">
        <f>+POWER_Regional_Daily_20150101_20190305_c11b3312[[#This Row],[Column8]]/100</f>
        <v>3.89</v>
      </c>
      <c r="J712" s="34"/>
    </row>
    <row r="713" spans="1:10" x14ac:dyDescent="0.25">
      <c r="A713" s="34" t="s">
        <v>164</v>
      </c>
      <c r="B713" s="34" t="s">
        <v>165</v>
      </c>
      <c r="C713" t="s">
        <v>253</v>
      </c>
      <c r="D713" t="s">
        <v>186</v>
      </c>
      <c r="E713" t="s">
        <v>217</v>
      </c>
      <c r="F713" t="s">
        <v>187</v>
      </c>
      <c r="G713" t="s">
        <v>169</v>
      </c>
      <c r="H713">
        <v>-999</v>
      </c>
      <c r="I713" s="34">
        <f>+POWER_Regional_Daily_20150101_20190305_c11b3312[[#This Row],[Column8]]/100</f>
        <v>-9.99</v>
      </c>
      <c r="J713" s="34"/>
    </row>
    <row r="714" spans="1:10" x14ac:dyDescent="0.25">
      <c r="A714" s="34" t="s">
        <v>164</v>
      </c>
      <c r="B714" s="34" t="s">
        <v>165</v>
      </c>
      <c r="C714" t="s">
        <v>253</v>
      </c>
      <c r="D714" t="s">
        <v>186</v>
      </c>
      <c r="E714" t="s">
        <v>219</v>
      </c>
      <c r="F714" t="s">
        <v>224</v>
      </c>
      <c r="G714" t="s">
        <v>169</v>
      </c>
      <c r="H714">
        <v>419</v>
      </c>
      <c r="I714" s="34">
        <f>+POWER_Regional_Daily_20150101_20190305_c11b3312[[#This Row],[Column8]]/100</f>
        <v>4.1900000000000004</v>
      </c>
      <c r="J714" s="34"/>
    </row>
    <row r="715" spans="1:10" x14ac:dyDescent="0.25">
      <c r="A715" s="34" t="s">
        <v>164</v>
      </c>
      <c r="B715" s="34" t="s">
        <v>165</v>
      </c>
      <c r="C715" t="s">
        <v>253</v>
      </c>
      <c r="D715" t="s">
        <v>188</v>
      </c>
      <c r="E715" t="s">
        <v>167</v>
      </c>
      <c r="F715" t="s">
        <v>252</v>
      </c>
      <c r="G715" t="s">
        <v>169</v>
      </c>
      <c r="H715">
        <v>224</v>
      </c>
      <c r="I715" s="34">
        <f>+POWER_Regional_Daily_20150101_20190305_c11b3312[[#This Row],[Column8]]/100</f>
        <v>2.2400000000000002</v>
      </c>
      <c r="J715" s="34"/>
    </row>
    <row r="716" spans="1:10" x14ac:dyDescent="0.25">
      <c r="A716" s="34" t="s">
        <v>164</v>
      </c>
      <c r="B716" s="34" t="s">
        <v>165</v>
      </c>
      <c r="C716" t="s">
        <v>253</v>
      </c>
      <c r="D716" t="s">
        <v>188</v>
      </c>
      <c r="E716" t="s">
        <v>170</v>
      </c>
      <c r="F716" t="s">
        <v>191</v>
      </c>
      <c r="G716" t="s">
        <v>169</v>
      </c>
      <c r="H716">
        <v>319</v>
      </c>
      <c r="I716" s="34">
        <f>+POWER_Regional_Daily_20150101_20190305_c11b3312[[#This Row],[Column8]]/100</f>
        <v>3.19</v>
      </c>
      <c r="J716" s="34"/>
    </row>
    <row r="717" spans="1:10" x14ac:dyDescent="0.25">
      <c r="A717" s="34" t="s">
        <v>164</v>
      </c>
      <c r="B717" s="34" t="s">
        <v>165</v>
      </c>
      <c r="C717" t="s">
        <v>253</v>
      </c>
      <c r="D717" t="s">
        <v>188</v>
      </c>
      <c r="E717" t="s">
        <v>172</v>
      </c>
      <c r="F717" t="s">
        <v>241</v>
      </c>
      <c r="G717" t="s">
        <v>169</v>
      </c>
      <c r="H717">
        <v>265</v>
      </c>
      <c r="I717" s="34">
        <f>+POWER_Regional_Daily_20150101_20190305_c11b3312[[#This Row],[Column8]]/100</f>
        <v>2.65</v>
      </c>
      <c r="J717" s="34"/>
    </row>
    <row r="718" spans="1:10" x14ac:dyDescent="0.25">
      <c r="A718" s="34" t="s">
        <v>164</v>
      </c>
      <c r="B718" s="34" t="s">
        <v>165</v>
      </c>
      <c r="C718" t="s">
        <v>253</v>
      </c>
      <c r="D718" t="s">
        <v>188</v>
      </c>
      <c r="E718" t="s">
        <v>174</v>
      </c>
      <c r="F718" t="s">
        <v>223</v>
      </c>
      <c r="G718" t="s">
        <v>169</v>
      </c>
      <c r="H718">
        <v>454</v>
      </c>
      <c r="I718" s="34">
        <f>+POWER_Regional_Daily_20150101_20190305_c11b3312[[#This Row],[Column8]]/100</f>
        <v>4.54</v>
      </c>
      <c r="J718" s="34"/>
    </row>
    <row r="719" spans="1:10" x14ac:dyDescent="0.25">
      <c r="A719" s="34" t="s">
        <v>164</v>
      </c>
      <c r="B719" s="34" t="s">
        <v>165</v>
      </c>
      <c r="C719" t="s">
        <v>253</v>
      </c>
      <c r="D719" t="s">
        <v>188</v>
      </c>
      <c r="E719" t="s">
        <v>175</v>
      </c>
      <c r="F719" t="s">
        <v>193</v>
      </c>
      <c r="G719" t="s">
        <v>169</v>
      </c>
      <c r="H719">
        <v>371</v>
      </c>
      <c r="I719" s="34">
        <f>+POWER_Regional_Daily_20150101_20190305_c11b3312[[#This Row],[Column8]]/100</f>
        <v>3.71</v>
      </c>
      <c r="J719" s="34"/>
    </row>
    <row r="720" spans="1:10" x14ac:dyDescent="0.25">
      <c r="A720" s="34" t="s">
        <v>164</v>
      </c>
      <c r="B720" s="34" t="s">
        <v>165</v>
      </c>
      <c r="C720" t="s">
        <v>253</v>
      </c>
      <c r="D720" t="s">
        <v>188</v>
      </c>
      <c r="E720" t="s">
        <v>177</v>
      </c>
      <c r="F720" t="s">
        <v>213</v>
      </c>
      <c r="G720" t="s">
        <v>169</v>
      </c>
      <c r="H720">
        <v>508</v>
      </c>
      <c r="I720" s="34">
        <f>+POWER_Regional_Daily_20150101_20190305_c11b3312[[#This Row],[Column8]]/100</f>
        <v>5.08</v>
      </c>
      <c r="J720" s="34"/>
    </row>
    <row r="721" spans="1:10" x14ac:dyDescent="0.25">
      <c r="A721" s="34" t="s">
        <v>164</v>
      </c>
      <c r="B721" s="34" t="s">
        <v>165</v>
      </c>
      <c r="C721" t="s">
        <v>253</v>
      </c>
      <c r="D721" t="s">
        <v>188</v>
      </c>
      <c r="E721" t="s">
        <v>178</v>
      </c>
      <c r="F721" t="s">
        <v>221</v>
      </c>
      <c r="G721" t="s">
        <v>169</v>
      </c>
      <c r="H721">
        <v>376</v>
      </c>
      <c r="I721" s="34">
        <f>+POWER_Regional_Daily_20150101_20190305_c11b3312[[#This Row],[Column8]]/100</f>
        <v>3.76</v>
      </c>
      <c r="J721" s="34"/>
    </row>
    <row r="722" spans="1:10" x14ac:dyDescent="0.25">
      <c r="A722" s="34" t="s">
        <v>164</v>
      </c>
      <c r="B722" s="34" t="s">
        <v>165</v>
      </c>
      <c r="C722" t="s">
        <v>253</v>
      </c>
      <c r="D722" t="s">
        <v>188</v>
      </c>
      <c r="E722" t="s">
        <v>180</v>
      </c>
      <c r="F722" t="s">
        <v>221</v>
      </c>
      <c r="G722" t="s">
        <v>169</v>
      </c>
      <c r="H722">
        <v>382</v>
      </c>
      <c r="I722" s="34">
        <f>+POWER_Regional_Daily_20150101_20190305_c11b3312[[#This Row],[Column8]]/100</f>
        <v>3.82</v>
      </c>
      <c r="J722" s="34"/>
    </row>
    <row r="723" spans="1:10" x14ac:dyDescent="0.25">
      <c r="A723" s="34" t="s">
        <v>164</v>
      </c>
      <c r="B723" s="34" t="s">
        <v>165</v>
      </c>
      <c r="C723" t="s">
        <v>253</v>
      </c>
      <c r="D723" t="s">
        <v>188</v>
      </c>
      <c r="E723" t="s">
        <v>182</v>
      </c>
      <c r="F723" t="s">
        <v>231</v>
      </c>
      <c r="G723" t="s">
        <v>169</v>
      </c>
      <c r="H723">
        <v>446</v>
      </c>
      <c r="I723" s="34">
        <f>+POWER_Regional_Daily_20150101_20190305_c11b3312[[#This Row],[Column8]]/100</f>
        <v>4.46</v>
      </c>
      <c r="J723" s="34"/>
    </row>
    <row r="724" spans="1:10" x14ac:dyDescent="0.25">
      <c r="A724" s="34" t="s">
        <v>164</v>
      </c>
      <c r="B724" s="34" t="s">
        <v>165</v>
      </c>
      <c r="C724" t="s">
        <v>253</v>
      </c>
      <c r="D724" t="s">
        <v>188</v>
      </c>
      <c r="E724" t="s">
        <v>184</v>
      </c>
      <c r="F724" t="s">
        <v>236</v>
      </c>
      <c r="G724" t="s">
        <v>169</v>
      </c>
      <c r="H724">
        <v>484</v>
      </c>
      <c r="I724" s="34">
        <f>+POWER_Regional_Daily_20150101_20190305_c11b3312[[#This Row],[Column8]]/100</f>
        <v>4.84</v>
      </c>
      <c r="J724" s="34"/>
    </row>
    <row r="725" spans="1:10" x14ac:dyDescent="0.25">
      <c r="A725" s="34" t="s">
        <v>164</v>
      </c>
      <c r="B725" s="34" t="s">
        <v>165</v>
      </c>
      <c r="C725" t="s">
        <v>253</v>
      </c>
      <c r="D725" t="s">
        <v>188</v>
      </c>
      <c r="E725" t="s">
        <v>186</v>
      </c>
      <c r="F725" t="s">
        <v>232</v>
      </c>
      <c r="G725" t="s">
        <v>169</v>
      </c>
      <c r="H725">
        <v>549</v>
      </c>
      <c r="I725" s="34">
        <f>+POWER_Regional_Daily_20150101_20190305_c11b3312[[#This Row],[Column8]]/100</f>
        <v>5.49</v>
      </c>
      <c r="J725" s="34"/>
    </row>
    <row r="726" spans="1:10" x14ac:dyDescent="0.25">
      <c r="A726" s="34" t="s">
        <v>164</v>
      </c>
      <c r="B726" s="34" t="s">
        <v>165</v>
      </c>
      <c r="C726" t="s">
        <v>253</v>
      </c>
      <c r="D726" t="s">
        <v>188</v>
      </c>
      <c r="E726" t="s">
        <v>188</v>
      </c>
      <c r="F726" t="s">
        <v>235</v>
      </c>
      <c r="G726" t="s">
        <v>169</v>
      </c>
      <c r="H726">
        <v>462</v>
      </c>
      <c r="I726" s="34">
        <f>+POWER_Regional_Daily_20150101_20190305_c11b3312[[#This Row],[Column8]]/100</f>
        <v>4.62</v>
      </c>
      <c r="J726" s="34"/>
    </row>
    <row r="727" spans="1:10" x14ac:dyDescent="0.25">
      <c r="A727" s="34" t="s">
        <v>164</v>
      </c>
      <c r="B727" s="34" t="s">
        <v>165</v>
      </c>
      <c r="C727" t="s">
        <v>253</v>
      </c>
      <c r="D727" t="s">
        <v>188</v>
      </c>
      <c r="E727" t="s">
        <v>190</v>
      </c>
      <c r="F727" t="s">
        <v>236</v>
      </c>
      <c r="G727" t="s">
        <v>169</v>
      </c>
      <c r="H727">
        <v>480</v>
      </c>
      <c r="I727" s="34">
        <f>+POWER_Regional_Daily_20150101_20190305_c11b3312[[#This Row],[Column8]]/100</f>
        <v>4.8</v>
      </c>
      <c r="J727" s="34"/>
    </row>
    <row r="728" spans="1:10" x14ac:dyDescent="0.25">
      <c r="A728" s="34" t="s">
        <v>164</v>
      </c>
      <c r="B728" s="34" t="s">
        <v>165</v>
      </c>
      <c r="C728" t="s">
        <v>253</v>
      </c>
      <c r="D728" t="s">
        <v>188</v>
      </c>
      <c r="E728" t="s">
        <v>192</v>
      </c>
      <c r="F728" t="s">
        <v>189</v>
      </c>
      <c r="G728" t="s">
        <v>169</v>
      </c>
      <c r="H728">
        <v>546</v>
      </c>
      <c r="I728" s="34">
        <f>+POWER_Regional_Daily_20150101_20190305_c11b3312[[#This Row],[Column8]]/100</f>
        <v>5.46</v>
      </c>
      <c r="J728" s="34"/>
    </row>
    <row r="729" spans="1:10" x14ac:dyDescent="0.25">
      <c r="A729" s="34" t="s">
        <v>164</v>
      </c>
      <c r="B729" s="34" t="s">
        <v>165</v>
      </c>
      <c r="C729" t="s">
        <v>253</v>
      </c>
      <c r="D729" t="s">
        <v>188</v>
      </c>
      <c r="E729" t="s">
        <v>194</v>
      </c>
      <c r="F729" t="s">
        <v>187</v>
      </c>
      <c r="G729" t="s">
        <v>169</v>
      </c>
      <c r="H729">
        <v>-999</v>
      </c>
      <c r="I729" s="34">
        <f>+POWER_Regional_Daily_20150101_20190305_c11b3312[[#This Row],[Column8]]/100</f>
        <v>-9.99</v>
      </c>
      <c r="J729" s="34"/>
    </row>
    <row r="730" spans="1:10" x14ac:dyDescent="0.25">
      <c r="A730" s="34" t="s">
        <v>164</v>
      </c>
      <c r="B730" s="34" t="s">
        <v>165</v>
      </c>
      <c r="C730" t="s">
        <v>253</v>
      </c>
      <c r="D730" t="s">
        <v>188</v>
      </c>
      <c r="E730" t="s">
        <v>196</v>
      </c>
      <c r="F730" t="s">
        <v>233</v>
      </c>
      <c r="G730" t="s">
        <v>169</v>
      </c>
      <c r="H730">
        <v>423</v>
      </c>
      <c r="I730" s="34">
        <f>+POWER_Regional_Daily_20150101_20190305_c11b3312[[#This Row],[Column8]]/100</f>
        <v>4.2300000000000004</v>
      </c>
      <c r="J730" s="34"/>
    </row>
    <row r="731" spans="1:10" x14ac:dyDescent="0.25">
      <c r="A731" s="34" t="s">
        <v>164</v>
      </c>
      <c r="B731" s="34" t="s">
        <v>165</v>
      </c>
      <c r="C731" t="s">
        <v>253</v>
      </c>
      <c r="D731" t="s">
        <v>188</v>
      </c>
      <c r="E731" t="s">
        <v>198</v>
      </c>
      <c r="F731" t="s">
        <v>195</v>
      </c>
      <c r="G731" t="s">
        <v>169</v>
      </c>
      <c r="H731">
        <v>430</v>
      </c>
      <c r="I731" s="34">
        <f>+POWER_Regional_Daily_20150101_20190305_c11b3312[[#This Row],[Column8]]/100</f>
        <v>4.3</v>
      </c>
      <c r="J731" s="34"/>
    </row>
    <row r="732" spans="1:10" x14ac:dyDescent="0.25">
      <c r="A732" s="34" t="s">
        <v>164</v>
      </c>
      <c r="B732" s="34" t="s">
        <v>165</v>
      </c>
      <c r="C732" t="s">
        <v>253</v>
      </c>
      <c r="D732" t="s">
        <v>188</v>
      </c>
      <c r="E732" t="s">
        <v>199</v>
      </c>
      <c r="F732" t="s">
        <v>189</v>
      </c>
      <c r="G732" t="s">
        <v>169</v>
      </c>
      <c r="H732">
        <v>539</v>
      </c>
      <c r="I732" s="34">
        <f>+POWER_Regional_Daily_20150101_20190305_c11b3312[[#This Row],[Column8]]/100</f>
        <v>5.39</v>
      </c>
      <c r="J732" s="34"/>
    </row>
    <row r="733" spans="1:10" x14ac:dyDescent="0.25">
      <c r="A733" s="34" t="s">
        <v>164</v>
      </c>
      <c r="B733" s="34" t="s">
        <v>165</v>
      </c>
      <c r="C733" t="s">
        <v>253</v>
      </c>
      <c r="D733" t="s">
        <v>188</v>
      </c>
      <c r="E733" t="s">
        <v>200</v>
      </c>
      <c r="F733" t="s">
        <v>183</v>
      </c>
      <c r="G733" t="s">
        <v>169</v>
      </c>
      <c r="H733">
        <v>527</v>
      </c>
      <c r="I733" s="34">
        <f>+POWER_Regional_Daily_20150101_20190305_c11b3312[[#This Row],[Column8]]/100</f>
        <v>5.27</v>
      </c>
      <c r="J733" s="34"/>
    </row>
    <row r="734" spans="1:10" x14ac:dyDescent="0.25">
      <c r="A734" s="34" t="s">
        <v>164</v>
      </c>
      <c r="B734" s="34" t="s">
        <v>165</v>
      </c>
      <c r="C734" t="s">
        <v>253</v>
      </c>
      <c r="D734" t="s">
        <v>188</v>
      </c>
      <c r="E734" t="s">
        <v>202</v>
      </c>
      <c r="F734" t="s">
        <v>233</v>
      </c>
      <c r="G734" t="s">
        <v>169</v>
      </c>
      <c r="H734">
        <v>420</v>
      </c>
      <c r="I734" s="34">
        <f>+POWER_Regional_Daily_20150101_20190305_c11b3312[[#This Row],[Column8]]/100</f>
        <v>4.2</v>
      </c>
      <c r="J734" s="34"/>
    </row>
    <row r="735" spans="1:10" x14ac:dyDescent="0.25">
      <c r="A735" s="34" t="s">
        <v>164</v>
      </c>
      <c r="B735" s="34" t="s">
        <v>165</v>
      </c>
      <c r="C735" t="s">
        <v>253</v>
      </c>
      <c r="D735" t="s">
        <v>188</v>
      </c>
      <c r="E735" t="s">
        <v>203</v>
      </c>
      <c r="F735" t="s">
        <v>228</v>
      </c>
      <c r="G735" t="s">
        <v>169</v>
      </c>
      <c r="H735">
        <v>237</v>
      </c>
      <c r="I735" s="34">
        <f>+POWER_Regional_Daily_20150101_20190305_c11b3312[[#This Row],[Column8]]/100</f>
        <v>2.37</v>
      </c>
      <c r="J735" s="34"/>
    </row>
    <row r="736" spans="1:10" x14ac:dyDescent="0.25">
      <c r="A736" s="34" t="s">
        <v>164</v>
      </c>
      <c r="B736" s="34" t="s">
        <v>165</v>
      </c>
      <c r="C736" t="s">
        <v>253</v>
      </c>
      <c r="D736" t="s">
        <v>188</v>
      </c>
      <c r="E736" t="s">
        <v>205</v>
      </c>
      <c r="F736" t="s">
        <v>231</v>
      </c>
      <c r="G736" t="s">
        <v>169</v>
      </c>
      <c r="H736">
        <v>443</v>
      </c>
      <c r="I736" s="34">
        <f>+POWER_Regional_Daily_20150101_20190305_c11b3312[[#This Row],[Column8]]/100</f>
        <v>4.43</v>
      </c>
      <c r="J736" s="34"/>
    </row>
    <row r="737" spans="1:10" x14ac:dyDescent="0.25">
      <c r="A737" s="34" t="s">
        <v>164</v>
      </c>
      <c r="B737" s="34" t="s">
        <v>165</v>
      </c>
      <c r="C737" t="s">
        <v>253</v>
      </c>
      <c r="D737" t="s">
        <v>188</v>
      </c>
      <c r="E737" t="s">
        <v>207</v>
      </c>
      <c r="F737" t="s">
        <v>224</v>
      </c>
      <c r="G737" t="s">
        <v>169</v>
      </c>
      <c r="H737">
        <v>411</v>
      </c>
      <c r="I737" s="34">
        <f>+POWER_Regional_Daily_20150101_20190305_c11b3312[[#This Row],[Column8]]/100</f>
        <v>4.1100000000000003</v>
      </c>
      <c r="J737" s="34"/>
    </row>
    <row r="738" spans="1:10" x14ac:dyDescent="0.25">
      <c r="A738" s="34" t="s">
        <v>164</v>
      </c>
      <c r="B738" s="34" t="s">
        <v>165</v>
      </c>
      <c r="C738" t="s">
        <v>253</v>
      </c>
      <c r="D738" t="s">
        <v>188</v>
      </c>
      <c r="E738" t="s">
        <v>208</v>
      </c>
      <c r="F738" t="s">
        <v>246</v>
      </c>
      <c r="G738" t="s">
        <v>169</v>
      </c>
      <c r="H738">
        <v>353</v>
      </c>
      <c r="I738" s="34">
        <f>+POWER_Regional_Daily_20150101_20190305_c11b3312[[#This Row],[Column8]]/100</f>
        <v>3.53</v>
      </c>
      <c r="J738" s="34"/>
    </row>
    <row r="739" spans="1:10" x14ac:dyDescent="0.25">
      <c r="A739" s="34" t="s">
        <v>164</v>
      </c>
      <c r="B739" s="34" t="s">
        <v>165</v>
      </c>
      <c r="C739" t="s">
        <v>253</v>
      </c>
      <c r="D739" t="s">
        <v>188</v>
      </c>
      <c r="E739" t="s">
        <v>210</v>
      </c>
      <c r="F739" t="s">
        <v>233</v>
      </c>
      <c r="G739" t="s">
        <v>169</v>
      </c>
      <c r="H739">
        <v>422</v>
      </c>
      <c r="I739" s="34">
        <f>+POWER_Regional_Daily_20150101_20190305_c11b3312[[#This Row],[Column8]]/100</f>
        <v>4.22</v>
      </c>
      <c r="J739" s="34"/>
    </row>
    <row r="740" spans="1:10" x14ac:dyDescent="0.25">
      <c r="A740" s="34" t="s">
        <v>164</v>
      </c>
      <c r="B740" s="34" t="s">
        <v>165</v>
      </c>
      <c r="C740" t="s">
        <v>253</v>
      </c>
      <c r="D740" t="s">
        <v>188</v>
      </c>
      <c r="E740" t="s">
        <v>212</v>
      </c>
      <c r="F740" t="s">
        <v>224</v>
      </c>
      <c r="G740" t="s">
        <v>169</v>
      </c>
      <c r="H740">
        <v>410</v>
      </c>
      <c r="I740" s="34">
        <f>+POWER_Regional_Daily_20150101_20190305_c11b3312[[#This Row],[Column8]]/100</f>
        <v>4.0999999999999996</v>
      </c>
      <c r="J740" s="34"/>
    </row>
    <row r="741" spans="1:10" x14ac:dyDescent="0.25">
      <c r="A741" s="34" t="s">
        <v>164</v>
      </c>
      <c r="B741" s="34" t="s">
        <v>165</v>
      </c>
      <c r="C741" t="s">
        <v>253</v>
      </c>
      <c r="D741" t="s">
        <v>188</v>
      </c>
      <c r="E741" t="s">
        <v>214</v>
      </c>
      <c r="F741" t="s">
        <v>221</v>
      </c>
      <c r="G741" t="s">
        <v>169</v>
      </c>
      <c r="H741">
        <v>378</v>
      </c>
      <c r="I741" s="34">
        <f>+POWER_Regional_Daily_20150101_20190305_c11b3312[[#This Row],[Column8]]/100</f>
        <v>3.78</v>
      </c>
      <c r="J741" s="34"/>
    </row>
    <row r="742" spans="1:10" x14ac:dyDescent="0.25">
      <c r="A742" s="34" t="s">
        <v>164</v>
      </c>
      <c r="B742" s="34" t="s">
        <v>165</v>
      </c>
      <c r="C742" t="s">
        <v>253</v>
      </c>
      <c r="D742" t="s">
        <v>188</v>
      </c>
      <c r="E742" t="s">
        <v>215</v>
      </c>
      <c r="F742" t="s">
        <v>201</v>
      </c>
      <c r="G742" t="s">
        <v>169</v>
      </c>
      <c r="H742">
        <v>490</v>
      </c>
      <c r="I742" s="34">
        <f>+POWER_Regional_Daily_20150101_20190305_c11b3312[[#This Row],[Column8]]/100</f>
        <v>4.9000000000000004</v>
      </c>
      <c r="J742" s="34"/>
    </row>
    <row r="743" spans="1:10" x14ac:dyDescent="0.25">
      <c r="A743" s="34" t="s">
        <v>164</v>
      </c>
      <c r="B743" s="34" t="s">
        <v>165</v>
      </c>
      <c r="C743" t="s">
        <v>253</v>
      </c>
      <c r="D743" t="s">
        <v>188</v>
      </c>
      <c r="E743" t="s">
        <v>217</v>
      </c>
      <c r="F743" t="s">
        <v>224</v>
      </c>
      <c r="G743" t="s">
        <v>169</v>
      </c>
      <c r="H743">
        <v>418</v>
      </c>
      <c r="I743" s="34">
        <f>+POWER_Regional_Daily_20150101_20190305_c11b3312[[#This Row],[Column8]]/100</f>
        <v>4.18</v>
      </c>
      <c r="J743" s="34"/>
    </row>
    <row r="744" spans="1:10" x14ac:dyDescent="0.25">
      <c r="A744" s="34" t="s">
        <v>164</v>
      </c>
      <c r="B744" s="34" t="s">
        <v>165</v>
      </c>
      <c r="C744" t="s">
        <v>253</v>
      </c>
      <c r="D744" t="s">
        <v>188</v>
      </c>
      <c r="E744" t="s">
        <v>219</v>
      </c>
      <c r="F744" t="s">
        <v>239</v>
      </c>
      <c r="G744" t="s">
        <v>169</v>
      </c>
      <c r="H744">
        <v>334</v>
      </c>
      <c r="I744" s="34">
        <f>+POWER_Regional_Daily_20150101_20190305_c11b3312[[#This Row],[Column8]]/100</f>
        <v>3.34</v>
      </c>
      <c r="J744" s="34"/>
    </row>
    <row r="745" spans="1:10" x14ac:dyDescent="0.25">
      <c r="A745" s="34" t="s">
        <v>164</v>
      </c>
      <c r="B745" s="34" t="s">
        <v>165</v>
      </c>
      <c r="C745" t="s">
        <v>253</v>
      </c>
      <c r="D745" t="s">
        <v>188</v>
      </c>
      <c r="E745" t="s">
        <v>220</v>
      </c>
      <c r="F745" t="s">
        <v>187</v>
      </c>
      <c r="G745" t="s">
        <v>169</v>
      </c>
      <c r="H745">
        <v>-999</v>
      </c>
      <c r="I745" s="34">
        <f>+POWER_Regional_Daily_20150101_20190305_c11b3312[[#This Row],[Column8]]/100</f>
        <v>-9.99</v>
      </c>
      <c r="J745" s="34"/>
    </row>
    <row r="746" spans="1:10" x14ac:dyDescent="0.25">
      <c r="A746" s="34" t="s">
        <v>164</v>
      </c>
      <c r="B746" s="34" t="s">
        <v>165</v>
      </c>
      <c r="C746" t="s">
        <v>260</v>
      </c>
      <c r="D746" t="s">
        <v>167</v>
      </c>
      <c r="E746" t="s">
        <v>167</v>
      </c>
      <c r="F746" t="s">
        <v>236</v>
      </c>
      <c r="G746" t="s">
        <v>169</v>
      </c>
      <c r="H746">
        <v>484</v>
      </c>
      <c r="I746" s="34">
        <f>+POWER_Regional_Daily_20150101_20190305_c11b3312[[#This Row],[Column8]]/100</f>
        <v>4.84</v>
      </c>
      <c r="J746" s="34"/>
    </row>
    <row r="747" spans="1:10" x14ac:dyDescent="0.25">
      <c r="A747" s="34" t="s">
        <v>164</v>
      </c>
      <c r="B747" s="34" t="s">
        <v>165</v>
      </c>
      <c r="C747" t="s">
        <v>260</v>
      </c>
      <c r="D747" t="s">
        <v>167</v>
      </c>
      <c r="E747" t="s">
        <v>170</v>
      </c>
      <c r="F747" t="s">
        <v>168</v>
      </c>
      <c r="G747" t="s">
        <v>169</v>
      </c>
      <c r="H747">
        <v>574</v>
      </c>
      <c r="I747" s="34">
        <f>+POWER_Regional_Daily_20150101_20190305_c11b3312[[#This Row],[Column8]]/100</f>
        <v>5.74</v>
      </c>
      <c r="J747" s="34"/>
    </row>
    <row r="748" spans="1:10" x14ac:dyDescent="0.25">
      <c r="A748" s="34" t="s">
        <v>164</v>
      </c>
      <c r="B748" s="34" t="s">
        <v>165</v>
      </c>
      <c r="C748" t="s">
        <v>260</v>
      </c>
      <c r="D748" t="s">
        <v>167</v>
      </c>
      <c r="E748" t="s">
        <v>172</v>
      </c>
      <c r="F748" t="s">
        <v>183</v>
      </c>
      <c r="G748" t="s">
        <v>169</v>
      </c>
      <c r="H748">
        <v>525</v>
      </c>
      <c r="I748" s="34">
        <f>+POWER_Regional_Daily_20150101_20190305_c11b3312[[#This Row],[Column8]]/100</f>
        <v>5.25</v>
      </c>
      <c r="J748" s="34"/>
    </row>
    <row r="749" spans="1:10" x14ac:dyDescent="0.25">
      <c r="A749" s="34" t="s">
        <v>164</v>
      </c>
      <c r="B749" s="34" t="s">
        <v>165</v>
      </c>
      <c r="C749" t="s">
        <v>260</v>
      </c>
      <c r="D749" t="s">
        <v>167</v>
      </c>
      <c r="E749" t="s">
        <v>174</v>
      </c>
      <c r="F749" t="s">
        <v>246</v>
      </c>
      <c r="G749" t="s">
        <v>169</v>
      </c>
      <c r="H749">
        <v>350</v>
      </c>
      <c r="I749" s="34">
        <f>+POWER_Regional_Daily_20150101_20190305_c11b3312[[#This Row],[Column8]]/100</f>
        <v>3.5</v>
      </c>
      <c r="J749" s="34"/>
    </row>
    <row r="750" spans="1:10" x14ac:dyDescent="0.25">
      <c r="A750" s="34" t="s">
        <v>164</v>
      </c>
      <c r="B750" s="34" t="s">
        <v>165</v>
      </c>
      <c r="C750" t="s">
        <v>260</v>
      </c>
      <c r="D750" t="s">
        <v>167</v>
      </c>
      <c r="E750" t="s">
        <v>175</v>
      </c>
      <c r="F750" t="s">
        <v>228</v>
      </c>
      <c r="G750" t="s">
        <v>169</v>
      </c>
      <c r="H750">
        <v>238</v>
      </c>
      <c r="I750" s="34">
        <f>+POWER_Regional_Daily_20150101_20190305_c11b3312[[#This Row],[Column8]]/100</f>
        <v>2.38</v>
      </c>
      <c r="J750" s="34"/>
    </row>
    <row r="751" spans="1:10" x14ac:dyDescent="0.25">
      <c r="A751" s="34" t="s">
        <v>164</v>
      </c>
      <c r="B751" s="34" t="s">
        <v>165</v>
      </c>
      <c r="C751" t="s">
        <v>260</v>
      </c>
      <c r="D751" t="s">
        <v>167</v>
      </c>
      <c r="E751" t="s">
        <v>177</v>
      </c>
      <c r="F751" t="s">
        <v>213</v>
      </c>
      <c r="G751" t="s">
        <v>169</v>
      </c>
      <c r="H751">
        <v>513</v>
      </c>
      <c r="I751" s="34">
        <f>+POWER_Regional_Daily_20150101_20190305_c11b3312[[#This Row],[Column8]]/100</f>
        <v>5.13</v>
      </c>
      <c r="J751" s="34"/>
    </row>
    <row r="752" spans="1:10" x14ac:dyDescent="0.25">
      <c r="A752" s="34" t="s">
        <v>164</v>
      </c>
      <c r="B752" s="34" t="s">
        <v>165</v>
      </c>
      <c r="C752" t="s">
        <v>260</v>
      </c>
      <c r="D752" t="s">
        <v>167</v>
      </c>
      <c r="E752" t="s">
        <v>178</v>
      </c>
      <c r="F752" t="s">
        <v>201</v>
      </c>
      <c r="G752" t="s">
        <v>169</v>
      </c>
      <c r="H752">
        <v>496</v>
      </c>
      <c r="I752" s="34">
        <f>+POWER_Regional_Daily_20150101_20190305_c11b3312[[#This Row],[Column8]]/100</f>
        <v>4.96</v>
      </c>
      <c r="J752" s="34"/>
    </row>
    <row r="753" spans="1:10" x14ac:dyDescent="0.25">
      <c r="A753" s="34" t="s">
        <v>164</v>
      </c>
      <c r="B753" s="34" t="s">
        <v>165</v>
      </c>
      <c r="C753" t="s">
        <v>260</v>
      </c>
      <c r="D753" t="s">
        <v>167</v>
      </c>
      <c r="E753" t="s">
        <v>180</v>
      </c>
      <c r="F753" t="s">
        <v>191</v>
      </c>
      <c r="G753" t="s">
        <v>169</v>
      </c>
      <c r="H753">
        <v>320</v>
      </c>
      <c r="I753" s="34">
        <f>+POWER_Regional_Daily_20150101_20190305_c11b3312[[#This Row],[Column8]]/100</f>
        <v>3.2</v>
      </c>
      <c r="J753" s="34"/>
    </row>
    <row r="754" spans="1:10" x14ac:dyDescent="0.25">
      <c r="A754" s="34" t="s">
        <v>164</v>
      </c>
      <c r="B754" s="34" t="s">
        <v>165</v>
      </c>
      <c r="C754" t="s">
        <v>260</v>
      </c>
      <c r="D754" t="s">
        <v>167</v>
      </c>
      <c r="E754" t="s">
        <v>182</v>
      </c>
      <c r="F754" t="s">
        <v>252</v>
      </c>
      <c r="G754" t="s">
        <v>169</v>
      </c>
      <c r="H754">
        <v>222</v>
      </c>
      <c r="I754" s="34">
        <f>+POWER_Regional_Daily_20150101_20190305_c11b3312[[#This Row],[Column8]]/100</f>
        <v>2.2200000000000002</v>
      </c>
      <c r="J754" s="34"/>
    </row>
    <row r="755" spans="1:10" x14ac:dyDescent="0.25">
      <c r="A755" s="34" t="s">
        <v>164</v>
      </c>
      <c r="B755" s="34" t="s">
        <v>165</v>
      </c>
      <c r="C755" t="s">
        <v>260</v>
      </c>
      <c r="D755" t="s">
        <v>167</v>
      </c>
      <c r="E755" t="s">
        <v>184</v>
      </c>
      <c r="F755" t="s">
        <v>230</v>
      </c>
      <c r="G755" t="s">
        <v>169</v>
      </c>
      <c r="H755">
        <v>347</v>
      </c>
      <c r="I755" s="34">
        <f>+POWER_Regional_Daily_20150101_20190305_c11b3312[[#This Row],[Column8]]/100</f>
        <v>3.47</v>
      </c>
      <c r="J755" s="34"/>
    </row>
    <row r="756" spans="1:10" x14ac:dyDescent="0.25">
      <c r="A756" s="34" t="s">
        <v>164</v>
      </c>
      <c r="B756" s="34" t="s">
        <v>165</v>
      </c>
      <c r="C756" t="s">
        <v>260</v>
      </c>
      <c r="D756" t="s">
        <v>167</v>
      </c>
      <c r="E756" t="s">
        <v>186</v>
      </c>
      <c r="F756" t="s">
        <v>197</v>
      </c>
      <c r="G756" t="s">
        <v>169</v>
      </c>
      <c r="H756">
        <v>417</v>
      </c>
      <c r="I756" s="34">
        <f>+POWER_Regional_Daily_20150101_20190305_c11b3312[[#This Row],[Column8]]/100</f>
        <v>4.17</v>
      </c>
      <c r="J756" s="34"/>
    </row>
    <row r="757" spans="1:10" x14ac:dyDescent="0.25">
      <c r="A757" s="34" t="s">
        <v>164</v>
      </c>
      <c r="B757" s="34" t="s">
        <v>165</v>
      </c>
      <c r="C757" t="s">
        <v>260</v>
      </c>
      <c r="D757" t="s">
        <v>167</v>
      </c>
      <c r="E757" t="s">
        <v>188</v>
      </c>
      <c r="F757" t="s">
        <v>197</v>
      </c>
      <c r="G757" t="s">
        <v>169</v>
      </c>
      <c r="H757">
        <v>414</v>
      </c>
      <c r="I757" s="34">
        <f>+POWER_Regional_Daily_20150101_20190305_c11b3312[[#This Row],[Column8]]/100</f>
        <v>4.1399999999999997</v>
      </c>
      <c r="J757" s="34"/>
    </row>
    <row r="758" spans="1:10" x14ac:dyDescent="0.25">
      <c r="A758" s="34" t="s">
        <v>164</v>
      </c>
      <c r="B758" s="34" t="s">
        <v>165</v>
      </c>
      <c r="C758" t="s">
        <v>260</v>
      </c>
      <c r="D758" t="s">
        <v>167</v>
      </c>
      <c r="E758" t="s">
        <v>190</v>
      </c>
      <c r="F758" t="s">
        <v>197</v>
      </c>
      <c r="G758" t="s">
        <v>169</v>
      </c>
      <c r="H758">
        <v>418</v>
      </c>
      <c r="I758" s="34">
        <f>+POWER_Regional_Daily_20150101_20190305_c11b3312[[#This Row],[Column8]]/100</f>
        <v>4.18</v>
      </c>
      <c r="J758" s="34"/>
    </row>
    <row r="759" spans="1:10" x14ac:dyDescent="0.25">
      <c r="A759" s="34" t="s">
        <v>164</v>
      </c>
      <c r="B759" s="34" t="s">
        <v>165</v>
      </c>
      <c r="C759" t="s">
        <v>260</v>
      </c>
      <c r="D759" t="s">
        <v>167</v>
      </c>
      <c r="E759" t="s">
        <v>192</v>
      </c>
      <c r="F759" t="s">
        <v>229</v>
      </c>
      <c r="G759" t="s">
        <v>169</v>
      </c>
      <c r="H759">
        <v>329</v>
      </c>
      <c r="I759" s="34">
        <f>+POWER_Regional_Daily_20150101_20190305_c11b3312[[#This Row],[Column8]]/100</f>
        <v>3.29</v>
      </c>
      <c r="J759" s="34"/>
    </row>
    <row r="760" spans="1:10" x14ac:dyDescent="0.25">
      <c r="A760" s="34" t="s">
        <v>164</v>
      </c>
      <c r="B760" s="34" t="s">
        <v>165</v>
      </c>
      <c r="C760" t="s">
        <v>260</v>
      </c>
      <c r="D760" t="s">
        <v>167</v>
      </c>
      <c r="E760" t="s">
        <v>194</v>
      </c>
      <c r="F760" t="s">
        <v>242</v>
      </c>
      <c r="G760" t="s">
        <v>169</v>
      </c>
      <c r="H760">
        <v>238</v>
      </c>
      <c r="I760" s="34">
        <f>+POWER_Regional_Daily_20150101_20190305_c11b3312[[#This Row],[Column8]]/100</f>
        <v>2.38</v>
      </c>
      <c r="J760" s="34"/>
    </row>
    <row r="761" spans="1:10" x14ac:dyDescent="0.25">
      <c r="A761" s="34" t="s">
        <v>164</v>
      </c>
      <c r="B761" s="34" t="s">
        <v>165</v>
      </c>
      <c r="C761" t="s">
        <v>260</v>
      </c>
      <c r="D761" t="s">
        <v>167</v>
      </c>
      <c r="E761" t="s">
        <v>196</v>
      </c>
      <c r="F761" t="s">
        <v>187</v>
      </c>
      <c r="G761" t="s">
        <v>169</v>
      </c>
      <c r="H761">
        <v>-999</v>
      </c>
      <c r="I761" s="34">
        <f>+POWER_Regional_Daily_20150101_20190305_c11b3312[[#This Row],[Column8]]/100</f>
        <v>-9.99</v>
      </c>
      <c r="J761" s="34"/>
    </row>
    <row r="762" spans="1:10" x14ac:dyDescent="0.25">
      <c r="A762" s="34" t="s">
        <v>164</v>
      </c>
      <c r="B762" s="34" t="s">
        <v>165</v>
      </c>
      <c r="C762" t="s">
        <v>260</v>
      </c>
      <c r="D762" t="s">
        <v>167</v>
      </c>
      <c r="E762" t="s">
        <v>198</v>
      </c>
      <c r="F762" t="s">
        <v>191</v>
      </c>
      <c r="G762" t="s">
        <v>169</v>
      </c>
      <c r="H762">
        <v>324</v>
      </c>
      <c r="I762" s="34">
        <f>+POWER_Regional_Daily_20150101_20190305_c11b3312[[#This Row],[Column8]]/100</f>
        <v>3.24</v>
      </c>
      <c r="J762" s="34"/>
    </row>
    <row r="763" spans="1:10" x14ac:dyDescent="0.25">
      <c r="A763" s="34" t="s">
        <v>164</v>
      </c>
      <c r="B763" s="34" t="s">
        <v>165</v>
      </c>
      <c r="C763" t="s">
        <v>260</v>
      </c>
      <c r="D763" t="s">
        <v>167</v>
      </c>
      <c r="E763" t="s">
        <v>199</v>
      </c>
      <c r="F763" t="s">
        <v>239</v>
      </c>
      <c r="G763" t="s">
        <v>169</v>
      </c>
      <c r="H763">
        <v>346</v>
      </c>
      <c r="I763" s="34">
        <f>+POWER_Regional_Daily_20150101_20190305_c11b3312[[#This Row],[Column8]]/100</f>
        <v>3.46</v>
      </c>
      <c r="J763" s="34"/>
    </row>
    <row r="764" spans="1:10" x14ac:dyDescent="0.25">
      <c r="A764" s="34" t="s">
        <v>164</v>
      </c>
      <c r="B764" s="34" t="s">
        <v>165</v>
      </c>
      <c r="C764" t="s">
        <v>260</v>
      </c>
      <c r="D764" t="s">
        <v>167</v>
      </c>
      <c r="E764" t="s">
        <v>200</v>
      </c>
      <c r="F764" t="s">
        <v>233</v>
      </c>
      <c r="G764" t="s">
        <v>169</v>
      </c>
      <c r="H764">
        <v>438</v>
      </c>
      <c r="I764" s="34">
        <f>+POWER_Regional_Daily_20150101_20190305_c11b3312[[#This Row],[Column8]]/100</f>
        <v>4.38</v>
      </c>
      <c r="J764" s="34"/>
    </row>
    <row r="765" spans="1:10" x14ac:dyDescent="0.25">
      <c r="A765" s="34" t="s">
        <v>164</v>
      </c>
      <c r="B765" s="34" t="s">
        <v>165</v>
      </c>
      <c r="C765" t="s">
        <v>260</v>
      </c>
      <c r="D765" t="s">
        <v>167</v>
      </c>
      <c r="E765" t="s">
        <v>202</v>
      </c>
      <c r="F765" t="s">
        <v>235</v>
      </c>
      <c r="G765" t="s">
        <v>169</v>
      </c>
      <c r="H765">
        <v>477</v>
      </c>
      <c r="I765" s="34">
        <f>+POWER_Regional_Daily_20150101_20190305_c11b3312[[#This Row],[Column8]]/100</f>
        <v>4.7699999999999996</v>
      </c>
      <c r="J765" s="34"/>
    </row>
    <row r="766" spans="1:10" x14ac:dyDescent="0.25">
      <c r="A766" s="34" t="s">
        <v>164</v>
      </c>
      <c r="B766" s="34" t="s">
        <v>165</v>
      </c>
      <c r="C766" t="s">
        <v>260</v>
      </c>
      <c r="D766" t="s">
        <v>167</v>
      </c>
      <c r="E766" t="s">
        <v>203</v>
      </c>
      <c r="F766" t="s">
        <v>189</v>
      </c>
      <c r="G766" t="s">
        <v>169</v>
      </c>
      <c r="H766">
        <v>565</v>
      </c>
      <c r="I766" s="34">
        <f>+POWER_Regional_Daily_20150101_20190305_c11b3312[[#This Row],[Column8]]/100</f>
        <v>5.65</v>
      </c>
      <c r="J766" s="34"/>
    </row>
    <row r="767" spans="1:10" x14ac:dyDescent="0.25">
      <c r="A767" s="34" t="s">
        <v>164</v>
      </c>
      <c r="B767" s="34" t="s">
        <v>165</v>
      </c>
      <c r="C767" t="s">
        <v>260</v>
      </c>
      <c r="D767" t="s">
        <v>167</v>
      </c>
      <c r="E767" t="s">
        <v>205</v>
      </c>
      <c r="F767" t="s">
        <v>168</v>
      </c>
      <c r="G767" t="s">
        <v>169</v>
      </c>
      <c r="H767">
        <v>590</v>
      </c>
      <c r="I767" s="34">
        <f>+POWER_Regional_Daily_20150101_20190305_c11b3312[[#This Row],[Column8]]/100</f>
        <v>5.9</v>
      </c>
      <c r="J767" s="34"/>
    </row>
    <row r="768" spans="1:10" x14ac:dyDescent="0.25">
      <c r="A768" s="34" t="s">
        <v>164</v>
      </c>
      <c r="B768" s="34" t="s">
        <v>165</v>
      </c>
      <c r="C768" t="s">
        <v>260</v>
      </c>
      <c r="D768" t="s">
        <v>167</v>
      </c>
      <c r="E768" t="s">
        <v>207</v>
      </c>
      <c r="F768" t="s">
        <v>171</v>
      </c>
      <c r="G768" t="s">
        <v>316</v>
      </c>
      <c r="H768">
        <v>654</v>
      </c>
      <c r="I768" s="34">
        <f>+POWER_Regional_Daily_20150101_20190305_c11b3312[[#This Row],[Column8]]/100</f>
        <v>6.54</v>
      </c>
      <c r="J768" s="34"/>
    </row>
    <row r="769" spans="1:10" x14ac:dyDescent="0.25">
      <c r="A769" s="34" t="s">
        <v>164</v>
      </c>
      <c r="B769" s="34" t="s">
        <v>165</v>
      </c>
      <c r="C769" t="s">
        <v>260</v>
      </c>
      <c r="D769" t="s">
        <v>167</v>
      </c>
      <c r="E769" t="s">
        <v>208</v>
      </c>
      <c r="F769" t="s">
        <v>195</v>
      </c>
      <c r="G769" t="s">
        <v>169</v>
      </c>
      <c r="H769">
        <v>447</v>
      </c>
      <c r="I769" s="34">
        <f>+POWER_Regional_Daily_20150101_20190305_c11b3312[[#This Row],[Column8]]/100</f>
        <v>4.47</v>
      </c>
      <c r="J769" s="34"/>
    </row>
    <row r="770" spans="1:10" x14ac:dyDescent="0.25">
      <c r="A770" s="34" t="s">
        <v>164</v>
      </c>
      <c r="B770" s="34" t="s">
        <v>165</v>
      </c>
      <c r="C770" t="s">
        <v>260</v>
      </c>
      <c r="D770" t="s">
        <v>167</v>
      </c>
      <c r="E770" t="s">
        <v>210</v>
      </c>
      <c r="F770" t="s">
        <v>183</v>
      </c>
      <c r="G770" t="s">
        <v>169</v>
      </c>
      <c r="H770">
        <v>544</v>
      </c>
      <c r="I770" s="34">
        <f>+POWER_Regional_Daily_20150101_20190305_c11b3312[[#This Row],[Column8]]/100</f>
        <v>5.44</v>
      </c>
      <c r="J770" s="34"/>
    </row>
    <row r="771" spans="1:10" x14ac:dyDescent="0.25">
      <c r="A771" s="34" t="s">
        <v>164</v>
      </c>
      <c r="B771" s="34" t="s">
        <v>165</v>
      </c>
      <c r="C771" t="s">
        <v>260</v>
      </c>
      <c r="D771" t="s">
        <v>167</v>
      </c>
      <c r="E771" t="s">
        <v>212</v>
      </c>
      <c r="F771" t="s">
        <v>233</v>
      </c>
      <c r="G771" t="s">
        <v>169</v>
      </c>
      <c r="H771">
        <v>439</v>
      </c>
      <c r="I771" s="34">
        <f>+POWER_Regional_Daily_20150101_20190305_c11b3312[[#This Row],[Column8]]/100</f>
        <v>4.3899999999999997</v>
      </c>
      <c r="J771" s="34"/>
    </row>
    <row r="772" spans="1:10" x14ac:dyDescent="0.25">
      <c r="A772" s="34" t="s">
        <v>164</v>
      </c>
      <c r="B772" s="34" t="s">
        <v>165</v>
      </c>
      <c r="C772" t="s">
        <v>260</v>
      </c>
      <c r="D772" t="s">
        <v>167</v>
      </c>
      <c r="E772" t="s">
        <v>214</v>
      </c>
      <c r="F772" t="s">
        <v>223</v>
      </c>
      <c r="G772" t="s">
        <v>169</v>
      </c>
      <c r="H772">
        <v>470</v>
      </c>
      <c r="I772" s="34">
        <f>+POWER_Regional_Daily_20150101_20190305_c11b3312[[#This Row],[Column8]]/100</f>
        <v>4.7</v>
      </c>
      <c r="J772" s="34"/>
    </row>
    <row r="773" spans="1:10" x14ac:dyDescent="0.25">
      <c r="A773" s="34" t="s">
        <v>164</v>
      </c>
      <c r="B773" s="34" t="s">
        <v>165</v>
      </c>
      <c r="C773" t="s">
        <v>260</v>
      </c>
      <c r="D773" t="s">
        <v>167</v>
      </c>
      <c r="E773" t="s">
        <v>215</v>
      </c>
      <c r="F773" t="s">
        <v>233</v>
      </c>
      <c r="G773" t="s">
        <v>169</v>
      </c>
      <c r="H773">
        <v>440</v>
      </c>
      <c r="I773" s="34">
        <f>+POWER_Regional_Daily_20150101_20190305_c11b3312[[#This Row],[Column8]]/100</f>
        <v>4.4000000000000004</v>
      </c>
      <c r="J773" s="34"/>
    </row>
    <row r="774" spans="1:10" x14ac:dyDescent="0.25">
      <c r="A774" s="34" t="s">
        <v>164</v>
      </c>
      <c r="B774" s="34" t="s">
        <v>165</v>
      </c>
      <c r="C774" t="s">
        <v>260</v>
      </c>
      <c r="D774" t="s">
        <v>167</v>
      </c>
      <c r="E774" t="s">
        <v>217</v>
      </c>
      <c r="F774" t="s">
        <v>236</v>
      </c>
      <c r="G774" t="s">
        <v>169</v>
      </c>
      <c r="H774">
        <v>507</v>
      </c>
      <c r="I774" s="34">
        <f>+POWER_Regional_Daily_20150101_20190305_c11b3312[[#This Row],[Column8]]/100</f>
        <v>5.07</v>
      </c>
      <c r="J774" s="34"/>
    </row>
    <row r="775" spans="1:10" x14ac:dyDescent="0.25">
      <c r="A775" s="34" t="s">
        <v>164</v>
      </c>
      <c r="B775" s="34" t="s">
        <v>165</v>
      </c>
      <c r="C775" t="s">
        <v>260</v>
      </c>
      <c r="D775" t="s">
        <v>167</v>
      </c>
      <c r="E775" t="s">
        <v>219</v>
      </c>
      <c r="F775" t="s">
        <v>193</v>
      </c>
      <c r="G775" t="s">
        <v>169</v>
      </c>
      <c r="H775">
        <v>391</v>
      </c>
      <c r="I775" s="34">
        <f>+POWER_Regional_Daily_20150101_20190305_c11b3312[[#This Row],[Column8]]/100</f>
        <v>3.91</v>
      </c>
      <c r="J775" s="34"/>
    </row>
    <row r="776" spans="1:10" x14ac:dyDescent="0.25">
      <c r="A776" s="34" t="s">
        <v>164</v>
      </c>
      <c r="B776" s="34" t="s">
        <v>165</v>
      </c>
      <c r="C776" t="s">
        <v>260</v>
      </c>
      <c r="D776" t="s">
        <v>167</v>
      </c>
      <c r="E776" t="s">
        <v>220</v>
      </c>
      <c r="F776" t="s">
        <v>223</v>
      </c>
      <c r="G776" t="s">
        <v>169</v>
      </c>
      <c r="H776">
        <v>477</v>
      </c>
      <c r="I776" s="34">
        <f>+POWER_Regional_Daily_20150101_20190305_c11b3312[[#This Row],[Column8]]/100</f>
        <v>4.7699999999999996</v>
      </c>
      <c r="J776" s="34"/>
    </row>
    <row r="777" spans="1:10" x14ac:dyDescent="0.25">
      <c r="A777" s="34" t="s">
        <v>164</v>
      </c>
      <c r="B777" s="34" t="s">
        <v>165</v>
      </c>
      <c r="C777" t="s">
        <v>260</v>
      </c>
      <c r="D777" t="s">
        <v>170</v>
      </c>
      <c r="E777" t="s">
        <v>167</v>
      </c>
      <c r="F777" t="s">
        <v>187</v>
      </c>
      <c r="G777" t="s">
        <v>169</v>
      </c>
      <c r="H777">
        <v>-999</v>
      </c>
      <c r="I777" s="34">
        <f>+POWER_Regional_Daily_20150101_20190305_c11b3312[[#This Row],[Column8]]/100</f>
        <v>-9.99</v>
      </c>
      <c r="J777" s="34"/>
    </row>
    <row r="778" spans="1:10" x14ac:dyDescent="0.25">
      <c r="A778" s="34" t="s">
        <v>164</v>
      </c>
      <c r="B778" s="34" t="s">
        <v>165</v>
      </c>
      <c r="C778" t="s">
        <v>260</v>
      </c>
      <c r="D778" t="s">
        <v>170</v>
      </c>
      <c r="E778" t="s">
        <v>170</v>
      </c>
      <c r="F778" t="s">
        <v>233</v>
      </c>
      <c r="G778" t="s">
        <v>169</v>
      </c>
      <c r="H778">
        <v>452</v>
      </c>
      <c r="I778" s="34">
        <f>+POWER_Regional_Daily_20150101_20190305_c11b3312[[#This Row],[Column8]]/100</f>
        <v>4.5199999999999996</v>
      </c>
      <c r="J778" s="34"/>
    </row>
    <row r="779" spans="1:10" x14ac:dyDescent="0.25">
      <c r="A779" s="34" t="s">
        <v>164</v>
      </c>
      <c r="B779" s="34" t="s">
        <v>165</v>
      </c>
      <c r="C779" t="s">
        <v>260</v>
      </c>
      <c r="D779" t="s">
        <v>170</v>
      </c>
      <c r="E779" t="s">
        <v>172</v>
      </c>
      <c r="F779" t="s">
        <v>235</v>
      </c>
      <c r="G779" t="s">
        <v>169</v>
      </c>
      <c r="H779">
        <v>491</v>
      </c>
      <c r="I779" s="34">
        <f>+POWER_Regional_Daily_20150101_20190305_c11b3312[[#This Row],[Column8]]/100</f>
        <v>4.91</v>
      </c>
      <c r="J779" s="34"/>
    </row>
    <row r="780" spans="1:10" x14ac:dyDescent="0.25">
      <c r="A780" s="34" t="s">
        <v>164</v>
      </c>
      <c r="B780" s="34" t="s">
        <v>165</v>
      </c>
      <c r="C780" t="s">
        <v>260</v>
      </c>
      <c r="D780" t="s">
        <v>170</v>
      </c>
      <c r="E780" t="s">
        <v>174</v>
      </c>
      <c r="F780" t="s">
        <v>238</v>
      </c>
      <c r="G780" t="s">
        <v>169</v>
      </c>
      <c r="H780">
        <v>616</v>
      </c>
      <c r="I780" s="34">
        <f>+POWER_Regional_Daily_20150101_20190305_c11b3312[[#This Row],[Column8]]/100</f>
        <v>6.16</v>
      </c>
      <c r="J780" s="34"/>
    </row>
    <row r="781" spans="1:10" x14ac:dyDescent="0.25">
      <c r="A781" s="34" t="s">
        <v>164</v>
      </c>
      <c r="B781" s="34" t="s">
        <v>165</v>
      </c>
      <c r="C781" t="s">
        <v>260</v>
      </c>
      <c r="D781" t="s">
        <v>170</v>
      </c>
      <c r="E781" t="s">
        <v>175</v>
      </c>
      <c r="F781" t="s">
        <v>248</v>
      </c>
      <c r="G781" t="s">
        <v>315</v>
      </c>
      <c r="H781">
        <v>659</v>
      </c>
      <c r="I781" s="34">
        <f>+POWER_Regional_Daily_20150101_20190305_c11b3312[[#This Row],[Column8]]/100</f>
        <v>6.59</v>
      </c>
      <c r="J781" s="34"/>
    </row>
    <row r="782" spans="1:10" x14ac:dyDescent="0.25">
      <c r="A782" s="34" t="s">
        <v>164</v>
      </c>
      <c r="B782" s="34" t="s">
        <v>165</v>
      </c>
      <c r="C782" t="s">
        <v>260</v>
      </c>
      <c r="D782" t="s">
        <v>170</v>
      </c>
      <c r="E782" t="s">
        <v>177</v>
      </c>
      <c r="F782" t="s">
        <v>250</v>
      </c>
      <c r="G782" t="s">
        <v>169</v>
      </c>
      <c r="H782">
        <v>635</v>
      </c>
      <c r="I782" s="34">
        <f>+POWER_Regional_Daily_20150101_20190305_c11b3312[[#This Row],[Column8]]/100</f>
        <v>6.35</v>
      </c>
      <c r="J782" s="34"/>
    </row>
    <row r="783" spans="1:10" x14ac:dyDescent="0.25">
      <c r="A783" s="34" t="s">
        <v>164</v>
      </c>
      <c r="B783" s="34" t="s">
        <v>165</v>
      </c>
      <c r="C783" t="s">
        <v>260</v>
      </c>
      <c r="D783" t="s">
        <v>170</v>
      </c>
      <c r="E783" t="s">
        <v>178</v>
      </c>
      <c r="F783" t="s">
        <v>176</v>
      </c>
      <c r="G783" t="s">
        <v>317</v>
      </c>
      <c r="H783">
        <v>650</v>
      </c>
      <c r="I783" s="34">
        <f>+POWER_Regional_Daily_20150101_20190305_c11b3312[[#This Row],[Column8]]/100</f>
        <v>6.5</v>
      </c>
      <c r="J783" s="34"/>
    </row>
    <row r="784" spans="1:10" x14ac:dyDescent="0.25">
      <c r="A784" s="34" t="s">
        <v>164</v>
      </c>
      <c r="B784" s="34" t="s">
        <v>165</v>
      </c>
      <c r="C784" t="s">
        <v>260</v>
      </c>
      <c r="D784" t="s">
        <v>170</v>
      </c>
      <c r="E784" t="s">
        <v>180</v>
      </c>
      <c r="F784" t="s">
        <v>168</v>
      </c>
      <c r="G784" t="s">
        <v>169</v>
      </c>
      <c r="H784">
        <v>616</v>
      </c>
      <c r="I784" s="34">
        <f>+POWER_Regional_Daily_20150101_20190305_c11b3312[[#This Row],[Column8]]/100</f>
        <v>6.16</v>
      </c>
      <c r="J784" s="34"/>
    </row>
    <row r="785" spans="1:10" x14ac:dyDescent="0.25">
      <c r="A785" s="34" t="s">
        <v>164</v>
      </c>
      <c r="B785" s="34" t="s">
        <v>165</v>
      </c>
      <c r="C785" t="s">
        <v>260</v>
      </c>
      <c r="D785" t="s">
        <v>170</v>
      </c>
      <c r="E785" t="s">
        <v>182</v>
      </c>
      <c r="F785" t="s">
        <v>235</v>
      </c>
      <c r="G785" t="s">
        <v>169</v>
      </c>
      <c r="H785">
        <v>496</v>
      </c>
      <c r="I785" s="34">
        <f>+POWER_Regional_Daily_20150101_20190305_c11b3312[[#This Row],[Column8]]/100</f>
        <v>4.96</v>
      </c>
      <c r="J785" s="34"/>
    </row>
    <row r="786" spans="1:10" x14ac:dyDescent="0.25">
      <c r="A786" s="34" t="s">
        <v>164</v>
      </c>
      <c r="B786" s="34" t="s">
        <v>165</v>
      </c>
      <c r="C786" t="s">
        <v>260</v>
      </c>
      <c r="D786" t="s">
        <v>170</v>
      </c>
      <c r="E786" t="s">
        <v>184</v>
      </c>
      <c r="F786" t="s">
        <v>201</v>
      </c>
      <c r="G786" t="s">
        <v>169</v>
      </c>
      <c r="H786">
        <v>525</v>
      </c>
      <c r="I786" s="34">
        <f>+POWER_Regional_Daily_20150101_20190305_c11b3312[[#This Row],[Column8]]/100</f>
        <v>5.25</v>
      </c>
      <c r="J786" s="34"/>
    </row>
    <row r="787" spans="1:10" x14ac:dyDescent="0.25">
      <c r="A787" s="34" t="s">
        <v>164</v>
      </c>
      <c r="B787" s="34" t="s">
        <v>165</v>
      </c>
      <c r="C787" t="s">
        <v>260</v>
      </c>
      <c r="D787" t="s">
        <v>170</v>
      </c>
      <c r="E787" t="s">
        <v>186</v>
      </c>
      <c r="F787" t="s">
        <v>235</v>
      </c>
      <c r="G787" t="s">
        <v>169</v>
      </c>
      <c r="H787">
        <v>498</v>
      </c>
      <c r="I787" s="34">
        <f>+POWER_Regional_Daily_20150101_20190305_c11b3312[[#This Row],[Column8]]/100</f>
        <v>4.9800000000000004</v>
      </c>
      <c r="J787" s="34"/>
    </row>
    <row r="788" spans="1:10" x14ac:dyDescent="0.25">
      <c r="A788" s="34" t="s">
        <v>164</v>
      </c>
      <c r="B788" s="34" t="s">
        <v>165</v>
      </c>
      <c r="C788" t="s">
        <v>260</v>
      </c>
      <c r="D788" t="s">
        <v>170</v>
      </c>
      <c r="E788" t="s">
        <v>188</v>
      </c>
      <c r="F788" t="s">
        <v>240</v>
      </c>
      <c r="G788" t="s">
        <v>169</v>
      </c>
      <c r="H788">
        <v>277</v>
      </c>
      <c r="I788" s="34">
        <f>+POWER_Regional_Daily_20150101_20190305_c11b3312[[#This Row],[Column8]]/100</f>
        <v>2.77</v>
      </c>
      <c r="J788" s="34"/>
    </row>
    <row r="789" spans="1:10" x14ac:dyDescent="0.25">
      <c r="A789" s="34" t="s">
        <v>164</v>
      </c>
      <c r="B789" s="34" t="s">
        <v>165</v>
      </c>
      <c r="C789" t="s">
        <v>260</v>
      </c>
      <c r="D789" t="s">
        <v>170</v>
      </c>
      <c r="E789" t="s">
        <v>190</v>
      </c>
      <c r="F789" t="s">
        <v>232</v>
      </c>
      <c r="G789" t="s">
        <v>169</v>
      </c>
      <c r="H789">
        <v>595</v>
      </c>
      <c r="I789" s="34">
        <f>+POWER_Regional_Daily_20150101_20190305_c11b3312[[#This Row],[Column8]]/100</f>
        <v>5.95</v>
      </c>
      <c r="J789" s="34"/>
    </row>
    <row r="790" spans="1:10" x14ac:dyDescent="0.25">
      <c r="A790" s="34" t="s">
        <v>164</v>
      </c>
      <c r="B790" s="34" t="s">
        <v>165</v>
      </c>
      <c r="C790" t="s">
        <v>260</v>
      </c>
      <c r="D790" t="s">
        <v>170</v>
      </c>
      <c r="E790" t="s">
        <v>192</v>
      </c>
      <c r="F790" t="s">
        <v>213</v>
      </c>
      <c r="G790" t="s">
        <v>169</v>
      </c>
      <c r="H790">
        <v>546</v>
      </c>
      <c r="I790" s="34">
        <f>+POWER_Regional_Daily_20150101_20190305_c11b3312[[#This Row],[Column8]]/100</f>
        <v>5.46</v>
      </c>
      <c r="J790" s="34"/>
    </row>
    <row r="791" spans="1:10" x14ac:dyDescent="0.25">
      <c r="A791" s="34" t="s">
        <v>164</v>
      </c>
      <c r="B791" s="34" t="s">
        <v>165</v>
      </c>
      <c r="C791" t="s">
        <v>260</v>
      </c>
      <c r="D791" t="s">
        <v>170</v>
      </c>
      <c r="E791" t="s">
        <v>194</v>
      </c>
      <c r="F791" t="s">
        <v>176</v>
      </c>
      <c r="G791" t="s">
        <v>169</v>
      </c>
      <c r="H791">
        <v>667</v>
      </c>
      <c r="I791" s="34">
        <f>+POWER_Regional_Daily_20150101_20190305_c11b3312[[#This Row],[Column8]]/100</f>
        <v>6.67</v>
      </c>
      <c r="J791" s="34"/>
    </row>
    <row r="792" spans="1:10" x14ac:dyDescent="0.25">
      <c r="A792" s="34" t="s">
        <v>164</v>
      </c>
      <c r="B792" s="34" t="s">
        <v>165</v>
      </c>
      <c r="C792" t="s">
        <v>260</v>
      </c>
      <c r="D792" t="s">
        <v>170</v>
      </c>
      <c r="E792" t="s">
        <v>196</v>
      </c>
      <c r="F792" t="s">
        <v>224</v>
      </c>
      <c r="G792" t="s">
        <v>169</v>
      </c>
      <c r="H792">
        <v>457</v>
      </c>
      <c r="I792" s="34">
        <f>+POWER_Regional_Daily_20150101_20190305_c11b3312[[#This Row],[Column8]]/100</f>
        <v>4.57</v>
      </c>
      <c r="J792" s="34"/>
    </row>
    <row r="793" spans="1:10" x14ac:dyDescent="0.25">
      <c r="A793" s="34" t="s">
        <v>164</v>
      </c>
      <c r="B793" s="34" t="s">
        <v>165</v>
      </c>
      <c r="C793" t="s">
        <v>260</v>
      </c>
      <c r="D793" t="s">
        <v>170</v>
      </c>
      <c r="E793" t="s">
        <v>198</v>
      </c>
      <c r="F793" t="s">
        <v>187</v>
      </c>
      <c r="G793" t="s">
        <v>169</v>
      </c>
      <c r="H793">
        <v>-999</v>
      </c>
      <c r="I793" s="34">
        <f>+POWER_Regional_Daily_20150101_20190305_c11b3312[[#This Row],[Column8]]/100</f>
        <v>-9.99</v>
      </c>
      <c r="J793" s="34"/>
    </row>
    <row r="794" spans="1:10" x14ac:dyDescent="0.25">
      <c r="A794" s="34" t="s">
        <v>164</v>
      </c>
      <c r="B794" s="34" t="s">
        <v>165</v>
      </c>
      <c r="C794" t="s">
        <v>260</v>
      </c>
      <c r="D794" t="s">
        <v>170</v>
      </c>
      <c r="E794" t="s">
        <v>199</v>
      </c>
      <c r="F794" t="s">
        <v>222</v>
      </c>
      <c r="G794" t="s">
        <v>169</v>
      </c>
      <c r="H794">
        <v>544</v>
      </c>
      <c r="I794" s="34">
        <f>+POWER_Regional_Daily_20150101_20190305_c11b3312[[#This Row],[Column8]]/100</f>
        <v>5.44</v>
      </c>
      <c r="J794" s="34"/>
    </row>
    <row r="795" spans="1:10" x14ac:dyDescent="0.25">
      <c r="A795" s="34" t="s">
        <v>164</v>
      </c>
      <c r="B795" s="34" t="s">
        <v>165</v>
      </c>
      <c r="C795" t="s">
        <v>260</v>
      </c>
      <c r="D795" t="s">
        <v>170</v>
      </c>
      <c r="E795" t="s">
        <v>200</v>
      </c>
      <c r="F795" t="s">
        <v>213</v>
      </c>
      <c r="G795" t="s">
        <v>169</v>
      </c>
      <c r="H795">
        <v>558</v>
      </c>
      <c r="I795" s="34">
        <f>+POWER_Regional_Daily_20150101_20190305_c11b3312[[#This Row],[Column8]]/100</f>
        <v>5.58</v>
      </c>
      <c r="J795" s="34"/>
    </row>
    <row r="796" spans="1:10" x14ac:dyDescent="0.25">
      <c r="A796" s="34" t="s">
        <v>164</v>
      </c>
      <c r="B796" s="34" t="s">
        <v>165</v>
      </c>
      <c r="C796" t="s">
        <v>260</v>
      </c>
      <c r="D796" t="s">
        <v>170</v>
      </c>
      <c r="E796" t="s">
        <v>202</v>
      </c>
      <c r="F796" t="s">
        <v>222</v>
      </c>
      <c r="G796" t="s">
        <v>169</v>
      </c>
      <c r="H796">
        <v>543</v>
      </c>
      <c r="I796" s="34">
        <f>+POWER_Regional_Daily_20150101_20190305_c11b3312[[#This Row],[Column8]]/100</f>
        <v>5.43</v>
      </c>
      <c r="J796" s="34"/>
    </row>
    <row r="797" spans="1:10" x14ac:dyDescent="0.25">
      <c r="A797" s="34" t="s">
        <v>164</v>
      </c>
      <c r="B797" s="34" t="s">
        <v>165</v>
      </c>
      <c r="C797" t="s">
        <v>260</v>
      </c>
      <c r="D797" t="s">
        <v>170</v>
      </c>
      <c r="E797" t="s">
        <v>203</v>
      </c>
      <c r="F797" t="s">
        <v>181</v>
      </c>
      <c r="G797" t="s">
        <v>169</v>
      </c>
      <c r="H797">
        <v>573</v>
      </c>
      <c r="I797" s="34">
        <f>+POWER_Regional_Daily_20150101_20190305_c11b3312[[#This Row],[Column8]]/100</f>
        <v>5.73</v>
      </c>
      <c r="J797" s="34"/>
    </row>
    <row r="798" spans="1:10" x14ac:dyDescent="0.25">
      <c r="A798" s="34" t="s">
        <v>164</v>
      </c>
      <c r="B798" s="34" t="s">
        <v>165</v>
      </c>
      <c r="C798" t="s">
        <v>260</v>
      </c>
      <c r="D798" t="s">
        <v>170</v>
      </c>
      <c r="E798" t="s">
        <v>205</v>
      </c>
      <c r="F798" t="s">
        <v>211</v>
      </c>
      <c r="G798" t="s">
        <v>169</v>
      </c>
      <c r="H798">
        <v>432</v>
      </c>
      <c r="I798" s="34">
        <f>+POWER_Regional_Daily_20150101_20190305_c11b3312[[#This Row],[Column8]]/100</f>
        <v>4.32</v>
      </c>
      <c r="J798" s="34"/>
    </row>
    <row r="799" spans="1:10" x14ac:dyDescent="0.25">
      <c r="A799" s="34" t="s">
        <v>164</v>
      </c>
      <c r="B799" s="34" t="s">
        <v>165</v>
      </c>
      <c r="C799" t="s">
        <v>260</v>
      </c>
      <c r="D799" t="s">
        <v>170</v>
      </c>
      <c r="E799" t="s">
        <v>207</v>
      </c>
      <c r="F799" t="s">
        <v>223</v>
      </c>
      <c r="G799" t="s">
        <v>169</v>
      </c>
      <c r="H799">
        <v>498</v>
      </c>
      <c r="I799" s="34">
        <f>+POWER_Regional_Daily_20150101_20190305_c11b3312[[#This Row],[Column8]]/100</f>
        <v>4.9800000000000004</v>
      </c>
      <c r="J799" s="34"/>
    </row>
    <row r="800" spans="1:10" x14ac:dyDescent="0.25">
      <c r="A800" s="34" t="s">
        <v>164</v>
      </c>
      <c r="B800" s="34" t="s">
        <v>165</v>
      </c>
      <c r="C800" t="s">
        <v>260</v>
      </c>
      <c r="D800" t="s">
        <v>170</v>
      </c>
      <c r="E800" t="s">
        <v>208</v>
      </c>
      <c r="F800" t="s">
        <v>204</v>
      </c>
      <c r="G800" t="s">
        <v>169</v>
      </c>
      <c r="H800">
        <v>435</v>
      </c>
      <c r="I800" s="34">
        <f>+POWER_Regional_Daily_20150101_20190305_c11b3312[[#This Row],[Column8]]/100</f>
        <v>4.3499999999999996</v>
      </c>
      <c r="J800" s="34"/>
    </row>
    <row r="801" spans="1:10" x14ac:dyDescent="0.25">
      <c r="A801" s="34" t="s">
        <v>164</v>
      </c>
      <c r="B801" s="34" t="s">
        <v>165</v>
      </c>
      <c r="C801" t="s">
        <v>260</v>
      </c>
      <c r="D801" t="s">
        <v>170</v>
      </c>
      <c r="E801" t="s">
        <v>210</v>
      </c>
      <c r="F801" t="s">
        <v>235</v>
      </c>
      <c r="G801" t="s">
        <v>169</v>
      </c>
      <c r="H801">
        <v>508</v>
      </c>
      <c r="I801" s="34">
        <f>+POWER_Regional_Daily_20150101_20190305_c11b3312[[#This Row],[Column8]]/100</f>
        <v>5.08</v>
      </c>
      <c r="J801" s="34"/>
    </row>
    <row r="802" spans="1:10" x14ac:dyDescent="0.25">
      <c r="A802" s="34" t="s">
        <v>164</v>
      </c>
      <c r="B802" s="34" t="s">
        <v>165</v>
      </c>
      <c r="C802" t="s">
        <v>260</v>
      </c>
      <c r="D802" t="s">
        <v>170</v>
      </c>
      <c r="E802" t="s">
        <v>212</v>
      </c>
      <c r="F802" t="s">
        <v>209</v>
      </c>
      <c r="G802" t="s">
        <v>169</v>
      </c>
      <c r="H802">
        <v>519</v>
      </c>
      <c r="I802" s="34">
        <f>+POWER_Regional_Daily_20150101_20190305_c11b3312[[#This Row],[Column8]]/100</f>
        <v>5.19</v>
      </c>
      <c r="J802" s="34"/>
    </row>
    <row r="803" spans="1:10" x14ac:dyDescent="0.25">
      <c r="A803" s="34" t="s">
        <v>164</v>
      </c>
      <c r="B803" s="34" t="s">
        <v>165</v>
      </c>
      <c r="C803" t="s">
        <v>260</v>
      </c>
      <c r="D803" t="s">
        <v>170</v>
      </c>
      <c r="E803" t="s">
        <v>214</v>
      </c>
      <c r="F803" t="s">
        <v>211</v>
      </c>
      <c r="G803" t="s">
        <v>169</v>
      </c>
      <c r="H803">
        <v>431</v>
      </c>
      <c r="I803" s="34">
        <f>+POWER_Regional_Daily_20150101_20190305_c11b3312[[#This Row],[Column8]]/100</f>
        <v>4.3099999999999996</v>
      </c>
      <c r="J803" s="34"/>
    </row>
    <row r="804" spans="1:10" x14ac:dyDescent="0.25">
      <c r="A804" s="34" t="s">
        <v>164</v>
      </c>
      <c r="B804" s="34" t="s">
        <v>165</v>
      </c>
      <c r="C804" t="s">
        <v>260</v>
      </c>
      <c r="D804" t="s">
        <v>170</v>
      </c>
      <c r="E804" t="s">
        <v>215</v>
      </c>
      <c r="F804" t="s">
        <v>233</v>
      </c>
      <c r="G804" t="s">
        <v>169</v>
      </c>
      <c r="H804">
        <v>467</v>
      </c>
      <c r="I804" s="34">
        <f>+POWER_Regional_Daily_20150101_20190305_c11b3312[[#This Row],[Column8]]/100</f>
        <v>4.67</v>
      </c>
      <c r="J804" s="34"/>
    </row>
    <row r="805" spans="1:10" x14ac:dyDescent="0.25">
      <c r="A805" s="34" t="s">
        <v>164</v>
      </c>
      <c r="B805" s="34" t="s">
        <v>165</v>
      </c>
      <c r="C805" t="s">
        <v>260</v>
      </c>
      <c r="D805" t="s">
        <v>172</v>
      </c>
      <c r="E805" t="s">
        <v>167</v>
      </c>
      <c r="F805" t="s">
        <v>224</v>
      </c>
      <c r="G805" t="s">
        <v>169</v>
      </c>
      <c r="H805">
        <v>461</v>
      </c>
      <c r="I805" s="34">
        <f>+POWER_Regional_Daily_20150101_20190305_c11b3312[[#This Row],[Column8]]/100</f>
        <v>4.6100000000000003</v>
      </c>
      <c r="J805" s="34"/>
    </row>
    <row r="806" spans="1:10" x14ac:dyDescent="0.25">
      <c r="A806" s="34" t="s">
        <v>164</v>
      </c>
      <c r="B806" s="34" t="s">
        <v>165</v>
      </c>
      <c r="C806" t="s">
        <v>260</v>
      </c>
      <c r="D806" t="s">
        <v>172</v>
      </c>
      <c r="E806" t="s">
        <v>170</v>
      </c>
      <c r="F806" t="s">
        <v>230</v>
      </c>
      <c r="G806" t="s">
        <v>169</v>
      </c>
      <c r="H806">
        <v>380</v>
      </c>
      <c r="I806" s="34">
        <f>+POWER_Regional_Daily_20150101_20190305_c11b3312[[#This Row],[Column8]]/100</f>
        <v>3.8</v>
      </c>
      <c r="J806" s="34"/>
    </row>
    <row r="807" spans="1:10" x14ac:dyDescent="0.25">
      <c r="A807" s="34" t="s">
        <v>164</v>
      </c>
      <c r="B807" s="34" t="s">
        <v>165</v>
      </c>
      <c r="C807" t="s">
        <v>260</v>
      </c>
      <c r="D807" t="s">
        <v>172</v>
      </c>
      <c r="E807" t="s">
        <v>172</v>
      </c>
      <c r="F807" t="s">
        <v>235</v>
      </c>
      <c r="G807" t="s">
        <v>169</v>
      </c>
      <c r="H807">
        <v>511</v>
      </c>
      <c r="I807" s="34">
        <f>+POWER_Regional_Daily_20150101_20190305_c11b3312[[#This Row],[Column8]]/100</f>
        <v>5.1100000000000003</v>
      </c>
      <c r="J807" s="34"/>
    </row>
    <row r="808" spans="1:10" x14ac:dyDescent="0.25">
      <c r="A808" s="34" t="s">
        <v>164</v>
      </c>
      <c r="B808" s="34" t="s">
        <v>165</v>
      </c>
      <c r="C808" t="s">
        <v>260</v>
      </c>
      <c r="D808" t="s">
        <v>172</v>
      </c>
      <c r="E808" t="s">
        <v>174</v>
      </c>
      <c r="F808" t="s">
        <v>181</v>
      </c>
      <c r="G808" t="s">
        <v>169</v>
      </c>
      <c r="H808">
        <v>582</v>
      </c>
      <c r="I808" s="34">
        <f>+POWER_Regional_Daily_20150101_20190305_c11b3312[[#This Row],[Column8]]/100</f>
        <v>5.82</v>
      </c>
      <c r="J808" s="34"/>
    </row>
    <row r="809" spans="1:10" x14ac:dyDescent="0.25">
      <c r="A809" s="34" t="s">
        <v>164</v>
      </c>
      <c r="B809" s="34" t="s">
        <v>165</v>
      </c>
      <c r="C809" t="s">
        <v>260</v>
      </c>
      <c r="D809" t="s">
        <v>172</v>
      </c>
      <c r="E809" t="s">
        <v>175</v>
      </c>
      <c r="F809" t="s">
        <v>187</v>
      </c>
      <c r="G809" t="s">
        <v>169</v>
      </c>
      <c r="H809">
        <v>-999</v>
      </c>
      <c r="I809" s="34">
        <f>+POWER_Regional_Daily_20150101_20190305_c11b3312[[#This Row],[Column8]]/100</f>
        <v>-9.99</v>
      </c>
      <c r="J809" s="34"/>
    </row>
    <row r="810" spans="1:10" x14ac:dyDescent="0.25">
      <c r="A810" s="34" t="s">
        <v>164</v>
      </c>
      <c r="B810" s="34" t="s">
        <v>165</v>
      </c>
      <c r="C810" t="s">
        <v>260</v>
      </c>
      <c r="D810" t="s">
        <v>172</v>
      </c>
      <c r="E810" t="s">
        <v>177</v>
      </c>
      <c r="F810" t="s">
        <v>197</v>
      </c>
      <c r="G810" t="s">
        <v>169</v>
      </c>
      <c r="H810">
        <v>451</v>
      </c>
      <c r="I810" s="34">
        <f>+POWER_Regional_Daily_20150101_20190305_c11b3312[[#This Row],[Column8]]/100</f>
        <v>4.51</v>
      </c>
      <c r="J810" s="34"/>
    </row>
    <row r="811" spans="1:10" x14ac:dyDescent="0.25">
      <c r="A811" s="34" t="s">
        <v>164</v>
      </c>
      <c r="B811" s="34" t="s">
        <v>165</v>
      </c>
      <c r="C811" t="s">
        <v>260</v>
      </c>
      <c r="D811" t="s">
        <v>172</v>
      </c>
      <c r="E811" t="s">
        <v>178</v>
      </c>
      <c r="F811" t="s">
        <v>221</v>
      </c>
      <c r="G811" t="s">
        <v>169</v>
      </c>
      <c r="H811">
        <v>428</v>
      </c>
      <c r="I811" s="34">
        <f>+POWER_Regional_Daily_20150101_20190305_c11b3312[[#This Row],[Column8]]/100</f>
        <v>4.28</v>
      </c>
      <c r="J811" s="34"/>
    </row>
    <row r="812" spans="1:10" x14ac:dyDescent="0.25">
      <c r="A812" s="34" t="s">
        <v>164</v>
      </c>
      <c r="B812" s="34" t="s">
        <v>165</v>
      </c>
      <c r="C812" t="s">
        <v>260</v>
      </c>
      <c r="D812" t="s">
        <v>172</v>
      </c>
      <c r="E812" t="s">
        <v>180</v>
      </c>
      <c r="F812" t="s">
        <v>263</v>
      </c>
      <c r="G812" t="s">
        <v>169</v>
      </c>
      <c r="H812">
        <v>218</v>
      </c>
      <c r="I812" s="34">
        <f>+POWER_Regional_Daily_20150101_20190305_c11b3312[[#This Row],[Column8]]/100</f>
        <v>2.1800000000000002</v>
      </c>
      <c r="J812" s="34"/>
    </row>
    <row r="813" spans="1:10" x14ac:dyDescent="0.25">
      <c r="A813" s="34" t="s">
        <v>164</v>
      </c>
      <c r="B813" s="34" t="s">
        <v>165</v>
      </c>
      <c r="C813" t="s">
        <v>260</v>
      </c>
      <c r="D813" t="s">
        <v>172</v>
      </c>
      <c r="E813" t="s">
        <v>182</v>
      </c>
      <c r="F813" t="s">
        <v>233</v>
      </c>
      <c r="G813" t="s">
        <v>169</v>
      </c>
      <c r="H813">
        <v>482</v>
      </c>
      <c r="I813" s="34">
        <f>+POWER_Regional_Daily_20150101_20190305_c11b3312[[#This Row],[Column8]]/100</f>
        <v>4.82</v>
      </c>
      <c r="J813" s="34"/>
    </row>
    <row r="814" spans="1:10" x14ac:dyDescent="0.25">
      <c r="A814" s="34" t="s">
        <v>164</v>
      </c>
      <c r="B814" s="34" t="s">
        <v>165</v>
      </c>
      <c r="C814" t="s">
        <v>260</v>
      </c>
      <c r="D814" t="s">
        <v>172</v>
      </c>
      <c r="E814" t="s">
        <v>184</v>
      </c>
      <c r="F814" t="s">
        <v>299</v>
      </c>
      <c r="G814" t="s">
        <v>169</v>
      </c>
      <c r="H814">
        <v>206</v>
      </c>
      <c r="I814" s="34">
        <f>+POWER_Regional_Daily_20150101_20190305_c11b3312[[#This Row],[Column8]]/100</f>
        <v>2.06</v>
      </c>
      <c r="J814" s="34"/>
    </row>
    <row r="815" spans="1:10" x14ac:dyDescent="0.25">
      <c r="A815" s="34" t="s">
        <v>164</v>
      </c>
      <c r="B815" s="34" t="s">
        <v>165</v>
      </c>
      <c r="C815" t="s">
        <v>260</v>
      </c>
      <c r="D815" t="s">
        <v>172</v>
      </c>
      <c r="E815" t="s">
        <v>186</v>
      </c>
      <c r="F815" t="s">
        <v>191</v>
      </c>
      <c r="G815" t="s">
        <v>169</v>
      </c>
      <c r="H815">
        <v>349</v>
      </c>
      <c r="I815" s="34">
        <f>+POWER_Regional_Daily_20150101_20190305_c11b3312[[#This Row],[Column8]]/100</f>
        <v>3.49</v>
      </c>
      <c r="J815" s="34"/>
    </row>
    <row r="816" spans="1:10" x14ac:dyDescent="0.25">
      <c r="A816" s="34" t="s">
        <v>164</v>
      </c>
      <c r="B816" s="34" t="s">
        <v>165</v>
      </c>
      <c r="C816" t="s">
        <v>260</v>
      </c>
      <c r="D816" t="s">
        <v>172</v>
      </c>
      <c r="E816" t="s">
        <v>188</v>
      </c>
      <c r="F816" t="s">
        <v>237</v>
      </c>
      <c r="G816" t="s">
        <v>169</v>
      </c>
      <c r="H816">
        <v>278</v>
      </c>
      <c r="I816" s="34">
        <f>+POWER_Regional_Daily_20150101_20190305_c11b3312[[#This Row],[Column8]]/100</f>
        <v>2.78</v>
      </c>
      <c r="J816" s="34"/>
    </row>
    <row r="817" spans="1:10" x14ac:dyDescent="0.25">
      <c r="A817" s="34" t="s">
        <v>164</v>
      </c>
      <c r="B817" s="34" t="s">
        <v>165</v>
      </c>
      <c r="C817" t="s">
        <v>260</v>
      </c>
      <c r="D817" t="s">
        <v>172</v>
      </c>
      <c r="E817" t="s">
        <v>190</v>
      </c>
      <c r="F817" t="s">
        <v>246</v>
      </c>
      <c r="G817" t="s">
        <v>169</v>
      </c>
      <c r="H817">
        <v>397</v>
      </c>
      <c r="I817" s="34">
        <f>+POWER_Regional_Daily_20150101_20190305_c11b3312[[#This Row],[Column8]]/100</f>
        <v>3.97</v>
      </c>
      <c r="J817" s="34"/>
    </row>
    <row r="818" spans="1:10" x14ac:dyDescent="0.25">
      <c r="A818" s="34" t="s">
        <v>164</v>
      </c>
      <c r="B818" s="34" t="s">
        <v>165</v>
      </c>
      <c r="C818" t="s">
        <v>260</v>
      </c>
      <c r="D818" t="s">
        <v>172</v>
      </c>
      <c r="E818" t="s">
        <v>192</v>
      </c>
      <c r="F818" t="s">
        <v>242</v>
      </c>
      <c r="G818" t="s">
        <v>169</v>
      </c>
      <c r="H818">
        <v>261</v>
      </c>
      <c r="I818" s="34">
        <f>+POWER_Regional_Daily_20150101_20190305_c11b3312[[#This Row],[Column8]]/100</f>
        <v>2.61</v>
      </c>
      <c r="J818" s="34"/>
    </row>
    <row r="819" spans="1:10" x14ac:dyDescent="0.25">
      <c r="A819" s="34" t="s">
        <v>164</v>
      </c>
      <c r="B819" s="34" t="s">
        <v>165</v>
      </c>
      <c r="C819" t="s">
        <v>260</v>
      </c>
      <c r="D819" t="s">
        <v>172</v>
      </c>
      <c r="E819" t="s">
        <v>194</v>
      </c>
      <c r="F819" t="s">
        <v>237</v>
      </c>
      <c r="G819" t="s">
        <v>169</v>
      </c>
      <c r="H819">
        <v>286</v>
      </c>
      <c r="I819" s="34">
        <f>+POWER_Regional_Daily_20150101_20190305_c11b3312[[#This Row],[Column8]]/100</f>
        <v>2.86</v>
      </c>
      <c r="J819" s="34"/>
    </row>
    <row r="820" spans="1:10" x14ac:dyDescent="0.25">
      <c r="A820" s="34" t="s">
        <v>164</v>
      </c>
      <c r="B820" s="34" t="s">
        <v>165</v>
      </c>
      <c r="C820" t="s">
        <v>260</v>
      </c>
      <c r="D820" t="s">
        <v>172</v>
      </c>
      <c r="E820" t="s">
        <v>196</v>
      </c>
      <c r="F820" t="s">
        <v>235</v>
      </c>
      <c r="G820" t="s">
        <v>169</v>
      </c>
      <c r="H820">
        <v>525</v>
      </c>
      <c r="I820" s="34">
        <f>+POWER_Regional_Daily_20150101_20190305_c11b3312[[#This Row],[Column8]]/100</f>
        <v>5.25</v>
      </c>
      <c r="J820" s="34"/>
    </row>
    <row r="821" spans="1:10" x14ac:dyDescent="0.25">
      <c r="A821" s="34" t="s">
        <v>164</v>
      </c>
      <c r="B821" s="34" t="s">
        <v>165</v>
      </c>
      <c r="C821" t="s">
        <v>260</v>
      </c>
      <c r="D821" t="s">
        <v>172</v>
      </c>
      <c r="E821" t="s">
        <v>198</v>
      </c>
      <c r="F821" t="s">
        <v>243</v>
      </c>
      <c r="G821" t="s">
        <v>169</v>
      </c>
      <c r="H821">
        <v>328</v>
      </c>
      <c r="I821" s="34">
        <f>+POWER_Regional_Daily_20150101_20190305_c11b3312[[#This Row],[Column8]]/100</f>
        <v>3.28</v>
      </c>
      <c r="J821" s="34"/>
    </row>
    <row r="822" spans="1:10" x14ac:dyDescent="0.25">
      <c r="A822" s="34" t="s">
        <v>164</v>
      </c>
      <c r="B822" s="34" t="s">
        <v>165</v>
      </c>
      <c r="C822" t="s">
        <v>260</v>
      </c>
      <c r="D822" t="s">
        <v>172</v>
      </c>
      <c r="E822" t="s">
        <v>199</v>
      </c>
      <c r="F822" t="s">
        <v>224</v>
      </c>
      <c r="G822" t="s">
        <v>169</v>
      </c>
      <c r="H822">
        <v>470</v>
      </c>
      <c r="I822" s="34">
        <f>+POWER_Regional_Daily_20150101_20190305_c11b3312[[#This Row],[Column8]]/100</f>
        <v>4.7</v>
      </c>
      <c r="J822" s="34"/>
    </row>
    <row r="823" spans="1:10" x14ac:dyDescent="0.25">
      <c r="A823" s="34" t="s">
        <v>164</v>
      </c>
      <c r="B823" s="34" t="s">
        <v>165</v>
      </c>
      <c r="C823" t="s">
        <v>260</v>
      </c>
      <c r="D823" t="s">
        <v>172</v>
      </c>
      <c r="E823" t="s">
        <v>200</v>
      </c>
      <c r="F823" t="s">
        <v>229</v>
      </c>
      <c r="G823" t="s">
        <v>169</v>
      </c>
      <c r="H823">
        <v>366</v>
      </c>
      <c r="I823" s="34">
        <f>+POWER_Regional_Daily_20150101_20190305_c11b3312[[#This Row],[Column8]]/100</f>
        <v>3.66</v>
      </c>
      <c r="J823" s="34"/>
    </row>
    <row r="824" spans="1:10" x14ac:dyDescent="0.25">
      <c r="A824" s="34" t="s">
        <v>164</v>
      </c>
      <c r="B824" s="34" t="s">
        <v>165</v>
      </c>
      <c r="C824" t="s">
        <v>260</v>
      </c>
      <c r="D824" t="s">
        <v>172</v>
      </c>
      <c r="E824" t="s">
        <v>202</v>
      </c>
      <c r="F824" t="s">
        <v>229</v>
      </c>
      <c r="G824" t="s">
        <v>169</v>
      </c>
      <c r="H824">
        <v>366</v>
      </c>
      <c r="I824" s="34">
        <f>+POWER_Regional_Daily_20150101_20190305_c11b3312[[#This Row],[Column8]]/100</f>
        <v>3.66</v>
      </c>
      <c r="J824" s="34"/>
    </row>
    <row r="825" spans="1:10" x14ac:dyDescent="0.25">
      <c r="A825" s="34" t="s">
        <v>164</v>
      </c>
      <c r="B825" s="34" t="s">
        <v>165</v>
      </c>
      <c r="C825" t="s">
        <v>260</v>
      </c>
      <c r="D825" t="s">
        <v>172</v>
      </c>
      <c r="E825" t="s">
        <v>203</v>
      </c>
      <c r="F825" t="s">
        <v>187</v>
      </c>
      <c r="G825" t="s">
        <v>169</v>
      </c>
      <c r="H825">
        <v>-999</v>
      </c>
      <c r="I825" s="34">
        <f>+POWER_Regional_Daily_20150101_20190305_c11b3312[[#This Row],[Column8]]/100</f>
        <v>-9.99</v>
      </c>
      <c r="J825" s="34"/>
    </row>
    <row r="826" spans="1:10" x14ac:dyDescent="0.25">
      <c r="A826" s="34" t="s">
        <v>164</v>
      </c>
      <c r="B826" s="34" t="s">
        <v>165</v>
      </c>
      <c r="C826" t="s">
        <v>260</v>
      </c>
      <c r="D826" t="s">
        <v>172</v>
      </c>
      <c r="E826" t="s">
        <v>205</v>
      </c>
      <c r="F826" t="s">
        <v>252</v>
      </c>
      <c r="G826" t="s">
        <v>169</v>
      </c>
      <c r="H826">
        <v>250</v>
      </c>
      <c r="I826" s="34">
        <f>+POWER_Regional_Daily_20150101_20190305_c11b3312[[#This Row],[Column8]]/100</f>
        <v>2.5</v>
      </c>
      <c r="J826" s="34"/>
    </row>
    <row r="827" spans="1:10" x14ac:dyDescent="0.25">
      <c r="A827" s="34" t="s">
        <v>164</v>
      </c>
      <c r="B827" s="34" t="s">
        <v>165</v>
      </c>
      <c r="C827" t="s">
        <v>260</v>
      </c>
      <c r="D827" t="s">
        <v>172</v>
      </c>
      <c r="E827" t="s">
        <v>207</v>
      </c>
      <c r="F827" t="s">
        <v>241</v>
      </c>
      <c r="G827" t="s">
        <v>169</v>
      </c>
      <c r="H827">
        <v>309</v>
      </c>
      <c r="I827" s="34">
        <f>+POWER_Regional_Daily_20150101_20190305_c11b3312[[#This Row],[Column8]]/100</f>
        <v>3.09</v>
      </c>
      <c r="J827" s="34"/>
    </row>
    <row r="828" spans="1:10" x14ac:dyDescent="0.25">
      <c r="A828" s="34" t="s">
        <v>164</v>
      </c>
      <c r="B828" s="34" t="s">
        <v>165</v>
      </c>
      <c r="C828" t="s">
        <v>260</v>
      </c>
      <c r="D828" t="s">
        <v>172</v>
      </c>
      <c r="E828" t="s">
        <v>208</v>
      </c>
      <c r="F828" t="s">
        <v>241</v>
      </c>
      <c r="G828" t="s">
        <v>169</v>
      </c>
      <c r="H828">
        <v>309</v>
      </c>
      <c r="I828" s="34">
        <f>+POWER_Regional_Daily_20150101_20190305_c11b3312[[#This Row],[Column8]]/100</f>
        <v>3.09</v>
      </c>
      <c r="J828" s="34"/>
    </row>
    <row r="829" spans="1:10" x14ac:dyDescent="0.25">
      <c r="A829" s="34" t="s">
        <v>164</v>
      </c>
      <c r="B829" s="34" t="s">
        <v>165</v>
      </c>
      <c r="C829" t="s">
        <v>260</v>
      </c>
      <c r="D829" t="s">
        <v>172</v>
      </c>
      <c r="E829" t="s">
        <v>210</v>
      </c>
      <c r="F829" t="s">
        <v>221</v>
      </c>
      <c r="G829" t="s">
        <v>169</v>
      </c>
      <c r="H829">
        <v>426</v>
      </c>
      <c r="I829" s="34">
        <f>+POWER_Regional_Daily_20150101_20190305_c11b3312[[#This Row],[Column8]]/100</f>
        <v>4.26</v>
      </c>
      <c r="J829" s="34"/>
    </row>
    <row r="830" spans="1:10" x14ac:dyDescent="0.25">
      <c r="A830" s="34" t="s">
        <v>164</v>
      </c>
      <c r="B830" s="34" t="s">
        <v>165</v>
      </c>
      <c r="C830" t="s">
        <v>260</v>
      </c>
      <c r="D830" t="s">
        <v>172</v>
      </c>
      <c r="E830" t="s">
        <v>212</v>
      </c>
      <c r="F830" t="s">
        <v>216</v>
      </c>
      <c r="G830" t="s">
        <v>169</v>
      </c>
      <c r="H830">
        <v>337</v>
      </c>
      <c r="I830" s="34">
        <f>+POWER_Regional_Daily_20150101_20190305_c11b3312[[#This Row],[Column8]]/100</f>
        <v>3.37</v>
      </c>
      <c r="J830" s="34"/>
    </row>
    <row r="831" spans="1:10" x14ac:dyDescent="0.25">
      <c r="A831" s="34" t="s">
        <v>164</v>
      </c>
      <c r="B831" s="34" t="s">
        <v>165</v>
      </c>
      <c r="C831" t="s">
        <v>260</v>
      </c>
      <c r="D831" t="s">
        <v>172</v>
      </c>
      <c r="E831" t="s">
        <v>214</v>
      </c>
      <c r="F831" t="s">
        <v>181</v>
      </c>
      <c r="G831" t="s">
        <v>169</v>
      </c>
      <c r="H831">
        <v>586</v>
      </c>
      <c r="I831" s="34">
        <f>+POWER_Regional_Daily_20150101_20190305_c11b3312[[#This Row],[Column8]]/100</f>
        <v>5.86</v>
      </c>
      <c r="J831" s="34"/>
    </row>
    <row r="832" spans="1:10" x14ac:dyDescent="0.25">
      <c r="A832" s="34" t="s">
        <v>164</v>
      </c>
      <c r="B832" s="34" t="s">
        <v>165</v>
      </c>
      <c r="C832" t="s">
        <v>260</v>
      </c>
      <c r="D832" t="s">
        <v>172</v>
      </c>
      <c r="E832" t="s">
        <v>215</v>
      </c>
      <c r="F832" t="s">
        <v>233</v>
      </c>
      <c r="G832" t="s">
        <v>169</v>
      </c>
      <c r="H832">
        <v>486</v>
      </c>
      <c r="I832" s="34">
        <f>+POWER_Regional_Daily_20150101_20190305_c11b3312[[#This Row],[Column8]]/100</f>
        <v>4.8600000000000003</v>
      </c>
      <c r="J832" s="34"/>
    </row>
    <row r="833" spans="1:10" x14ac:dyDescent="0.25">
      <c r="A833" s="34" t="s">
        <v>164</v>
      </c>
      <c r="B833" s="34" t="s">
        <v>165</v>
      </c>
      <c r="C833" t="s">
        <v>260</v>
      </c>
      <c r="D833" t="s">
        <v>172</v>
      </c>
      <c r="E833" t="s">
        <v>217</v>
      </c>
      <c r="F833" t="s">
        <v>239</v>
      </c>
      <c r="G833" t="s">
        <v>169</v>
      </c>
      <c r="H833">
        <v>373</v>
      </c>
      <c r="I833" s="34">
        <f>+POWER_Regional_Daily_20150101_20190305_c11b3312[[#This Row],[Column8]]/100</f>
        <v>3.73</v>
      </c>
      <c r="J833" s="34"/>
    </row>
    <row r="834" spans="1:10" x14ac:dyDescent="0.25">
      <c r="A834" s="34" t="s">
        <v>164</v>
      </c>
      <c r="B834" s="34" t="s">
        <v>165</v>
      </c>
      <c r="C834" t="s">
        <v>260</v>
      </c>
      <c r="D834" t="s">
        <v>172</v>
      </c>
      <c r="E834" t="s">
        <v>219</v>
      </c>
      <c r="F834" t="s">
        <v>239</v>
      </c>
      <c r="G834" t="s">
        <v>169</v>
      </c>
      <c r="H834">
        <v>381</v>
      </c>
      <c r="I834" s="34">
        <f>+POWER_Regional_Daily_20150101_20190305_c11b3312[[#This Row],[Column8]]/100</f>
        <v>3.81</v>
      </c>
      <c r="J834" s="34"/>
    </row>
    <row r="835" spans="1:10" x14ac:dyDescent="0.25">
      <c r="A835" s="34" t="s">
        <v>164</v>
      </c>
      <c r="B835" s="34" t="s">
        <v>165</v>
      </c>
      <c r="C835" t="s">
        <v>260</v>
      </c>
      <c r="D835" t="s">
        <v>172</v>
      </c>
      <c r="E835" t="s">
        <v>220</v>
      </c>
      <c r="F835" t="s">
        <v>243</v>
      </c>
      <c r="G835" t="s">
        <v>169</v>
      </c>
      <c r="H835">
        <v>326</v>
      </c>
      <c r="I835" s="34">
        <f>+POWER_Regional_Daily_20150101_20190305_c11b3312[[#This Row],[Column8]]/100</f>
        <v>3.26</v>
      </c>
      <c r="J835" s="34"/>
    </row>
    <row r="836" spans="1:10" x14ac:dyDescent="0.25">
      <c r="A836" s="34" t="s">
        <v>164</v>
      </c>
      <c r="B836" s="34" t="s">
        <v>165</v>
      </c>
      <c r="C836" t="s">
        <v>260</v>
      </c>
      <c r="D836" t="s">
        <v>174</v>
      </c>
      <c r="E836" t="s">
        <v>167</v>
      </c>
      <c r="F836" t="s">
        <v>236</v>
      </c>
      <c r="G836" t="s">
        <v>169</v>
      </c>
      <c r="H836">
        <v>542</v>
      </c>
      <c r="I836" s="34">
        <f>+POWER_Regional_Daily_20150101_20190305_c11b3312[[#This Row],[Column8]]/100</f>
        <v>5.42</v>
      </c>
      <c r="J836" s="34"/>
    </row>
    <row r="837" spans="1:10" x14ac:dyDescent="0.25">
      <c r="A837" s="34" t="s">
        <v>164</v>
      </c>
      <c r="B837" s="34" t="s">
        <v>165</v>
      </c>
      <c r="C837" t="s">
        <v>260</v>
      </c>
      <c r="D837" t="s">
        <v>174</v>
      </c>
      <c r="E837" t="s">
        <v>170</v>
      </c>
      <c r="F837" t="s">
        <v>218</v>
      </c>
      <c r="G837" t="s">
        <v>169</v>
      </c>
      <c r="H837">
        <v>611</v>
      </c>
      <c r="I837" s="34">
        <f>+POWER_Regional_Daily_20150101_20190305_c11b3312[[#This Row],[Column8]]/100</f>
        <v>6.11</v>
      </c>
      <c r="J837" s="34"/>
    </row>
    <row r="838" spans="1:10" x14ac:dyDescent="0.25">
      <c r="A838" s="34" t="s">
        <v>164</v>
      </c>
      <c r="B838" s="34" t="s">
        <v>165</v>
      </c>
      <c r="C838" t="s">
        <v>260</v>
      </c>
      <c r="D838" t="s">
        <v>174</v>
      </c>
      <c r="E838" t="s">
        <v>172</v>
      </c>
      <c r="F838" t="s">
        <v>176</v>
      </c>
      <c r="G838" t="s">
        <v>169</v>
      </c>
      <c r="H838">
        <v>697</v>
      </c>
      <c r="I838" s="34">
        <f>+POWER_Regional_Daily_20150101_20190305_c11b3312[[#This Row],[Column8]]/100</f>
        <v>6.97</v>
      </c>
      <c r="J838" s="34"/>
    </row>
    <row r="839" spans="1:10" x14ac:dyDescent="0.25">
      <c r="A839" s="34" t="s">
        <v>164</v>
      </c>
      <c r="B839" s="34" t="s">
        <v>165</v>
      </c>
      <c r="C839" t="s">
        <v>260</v>
      </c>
      <c r="D839" t="s">
        <v>174</v>
      </c>
      <c r="E839" t="s">
        <v>174</v>
      </c>
      <c r="F839" t="s">
        <v>185</v>
      </c>
      <c r="G839" t="s">
        <v>169</v>
      </c>
      <c r="H839">
        <v>634</v>
      </c>
      <c r="I839" s="34">
        <f>+POWER_Regional_Daily_20150101_20190305_c11b3312[[#This Row],[Column8]]/100</f>
        <v>6.34</v>
      </c>
      <c r="J839" s="34"/>
    </row>
    <row r="840" spans="1:10" x14ac:dyDescent="0.25">
      <c r="A840" s="34" t="s">
        <v>164</v>
      </c>
      <c r="B840" s="34" t="s">
        <v>165</v>
      </c>
      <c r="C840" t="s">
        <v>260</v>
      </c>
      <c r="D840" t="s">
        <v>174</v>
      </c>
      <c r="E840" t="s">
        <v>175</v>
      </c>
      <c r="F840" t="s">
        <v>185</v>
      </c>
      <c r="G840" t="s">
        <v>169</v>
      </c>
      <c r="H840">
        <v>634</v>
      </c>
      <c r="I840" s="34">
        <f>+POWER_Regional_Daily_20150101_20190305_c11b3312[[#This Row],[Column8]]/100</f>
        <v>6.34</v>
      </c>
      <c r="J840" s="34"/>
    </row>
    <row r="841" spans="1:10" x14ac:dyDescent="0.25">
      <c r="A841" s="34" t="s">
        <v>164</v>
      </c>
      <c r="B841" s="34" t="s">
        <v>165</v>
      </c>
      <c r="C841" t="s">
        <v>260</v>
      </c>
      <c r="D841" t="s">
        <v>174</v>
      </c>
      <c r="E841" t="s">
        <v>177</v>
      </c>
      <c r="F841" t="s">
        <v>187</v>
      </c>
      <c r="G841" t="s">
        <v>169</v>
      </c>
      <c r="H841">
        <v>-999</v>
      </c>
      <c r="I841" s="34">
        <f>+POWER_Regional_Daily_20150101_20190305_c11b3312[[#This Row],[Column8]]/100</f>
        <v>-9.99</v>
      </c>
      <c r="J841" s="34"/>
    </row>
    <row r="842" spans="1:10" x14ac:dyDescent="0.25">
      <c r="A842" s="34" t="s">
        <v>164</v>
      </c>
      <c r="B842" s="34" t="s">
        <v>165</v>
      </c>
      <c r="C842" t="s">
        <v>260</v>
      </c>
      <c r="D842" t="s">
        <v>174</v>
      </c>
      <c r="E842" t="s">
        <v>178</v>
      </c>
      <c r="F842" t="s">
        <v>222</v>
      </c>
      <c r="G842" t="s">
        <v>169</v>
      </c>
      <c r="H842">
        <v>568</v>
      </c>
      <c r="I842" s="34">
        <f>+POWER_Regional_Daily_20150101_20190305_c11b3312[[#This Row],[Column8]]/100</f>
        <v>5.68</v>
      </c>
      <c r="J842" s="34"/>
    </row>
    <row r="843" spans="1:10" x14ac:dyDescent="0.25">
      <c r="A843" s="34" t="s">
        <v>164</v>
      </c>
      <c r="B843" s="34" t="s">
        <v>165</v>
      </c>
      <c r="C843" t="s">
        <v>260</v>
      </c>
      <c r="D843" t="s">
        <v>174</v>
      </c>
      <c r="E843" t="s">
        <v>180</v>
      </c>
      <c r="F843" t="s">
        <v>229</v>
      </c>
      <c r="G843" t="s">
        <v>169</v>
      </c>
      <c r="H843">
        <v>368</v>
      </c>
      <c r="I843" s="34">
        <f>+POWER_Regional_Daily_20150101_20190305_c11b3312[[#This Row],[Column8]]/100</f>
        <v>3.68</v>
      </c>
      <c r="J843" s="34"/>
    </row>
    <row r="844" spans="1:10" x14ac:dyDescent="0.25">
      <c r="A844" s="34" t="s">
        <v>164</v>
      </c>
      <c r="B844" s="34" t="s">
        <v>165</v>
      </c>
      <c r="C844" t="s">
        <v>260</v>
      </c>
      <c r="D844" t="s">
        <v>174</v>
      </c>
      <c r="E844" t="s">
        <v>182</v>
      </c>
      <c r="F844" t="s">
        <v>242</v>
      </c>
      <c r="G844" t="s">
        <v>169</v>
      </c>
      <c r="H844">
        <v>265</v>
      </c>
      <c r="I844" s="34">
        <f>+POWER_Regional_Daily_20150101_20190305_c11b3312[[#This Row],[Column8]]/100</f>
        <v>2.65</v>
      </c>
      <c r="J844" s="34"/>
    </row>
    <row r="845" spans="1:10" x14ac:dyDescent="0.25">
      <c r="A845" s="34" t="s">
        <v>164</v>
      </c>
      <c r="B845" s="34" t="s">
        <v>165</v>
      </c>
      <c r="C845" t="s">
        <v>260</v>
      </c>
      <c r="D845" t="s">
        <v>174</v>
      </c>
      <c r="E845" t="s">
        <v>184</v>
      </c>
      <c r="F845" t="s">
        <v>223</v>
      </c>
      <c r="G845" t="s">
        <v>169</v>
      </c>
      <c r="H845">
        <v>513</v>
      </c>
      <c r="I845" s="34">
        <f>+POWER_Regional_Daily_20150101_20190305_c11b3312[[#This Row],[Column8]]/100</f>
        <v>5.13</v>
      </c>
      <c r="J845" s="34"/>
    </row>
    <row r="846" spans="1:10" x14ac:dyDescent="0.25">
      <c r="A846" s="34" t="s">
        <v>164</v>
      </c>
      <c r="B846" s="34" t="s">
        <v>165</v>
      </c>
      <c r="C846" t="s">
        <v>260</v>
      </c>
      <c r="D846" t="s">
        <v>174</v>
      </c>
      <c r="E846" t="s">
        <v>186</v>
      </c>
      <c r="F846" t="s">
        <v>193</v>
      </c>
      <c r="G846" t="s">
        <v>169</v>
      </c>
      <c r="H846">
        <v>416</v>
      </c>
      <c r="I846" s="34">
        <f>+POWER_Regional_Daily_20150101_20190305_c11b3312[[#This Row],[Column8]]/100</f>
        <v>4.16</v>
      </c>
      <c r="J846" s="34"/>
    </row>
    <row r="847" spans="1:10" x14ac:dyDescent="0.25">
      <c r="A847" s="34" t="s">
        <v>164</v>
      </c>
      <c r="B847" s="34" t="s">
        <v>165</v>
      </c>
      <c r="C847" t="s">
        <v>260</v>
      </c>
      <c r="D847" t="s">
        <v>174</v>
      </c>
      <c r="E847" t="s">
        <v>188</v>
      </c>
      <c r="F847" t="s">
        <v>230</v>
      </c>
      <c r="G847" t="s">
        <v>169</v>
      </c>
      <c r="H847">
        <v>385</v>
      </c>
      <c r="I847" s="34">
        <f>+POWER_Regional_Daily_20150101_20190305_c11b3312[[#This Row],[Column8]]/100</f>
        <v>3.85</v>
      </c>
      <c r="J847" s="34"/>
    </row>
    <row r="848" spans="1:10" x14ac:dyDescent="0.25">
      <c r="A848" s="34" t="s">
        <v>164</v>
      </c>
      <c r="B848" s="34" t="s">
        <v>165</v>
      </c>
      <c r="C848" t="s">
        <v>260</v>
      </c>
      <c r="D848" t="s">
        <v>174</v>
      </c>
      <c r="E848" t="s">
        <v>190</v>
      </c>
      <c r="F848" t="s">
        <v>183</v>
      </c>
      <c r="G848" t="s">
        <v>169</v>
      </c>
      <c r="H848">
        <v>590</v>
      </c>
      <c r="I848" s="34">
        <f>+POWER_Regional_Daily_20150101_20190305_c11b3312[[#This Row],[Column8]]/100</f>
        <v>5.9</v>
      </c>
      <c r="J848" s="34"/>
    </row>
    <row r="849" spans="1:10" x14ac:dyDescent="0.25">
      <c r="A849" s="34" t="s">
        <v>164</v>
      </c>
      <c r="B849" s="34" t="s">
        <v>165</v>
      </c>
      <c r="C849" t="s">
        <v>260</v>
      </c>
      <c r="D849" t="s">
        <v>174</v>
      </c>
      <c r="E849" t="s">
        <v>192</v>
      </c>
      <c r="F849" t="s">
        <v>311</v>
      </c>
      <c r="G849" t="s">
        <v>169</v>
      </c>
      <c r="H849">
        <v>172</v>
      </c>
      <c r="I849" s="34">
        <f>+POWER_Regional_Daily_20150101_20190305_c11b3312[[#This Row],[Column8]]/100</f>
        <v>1.72</v>
      </c>
      <c r="J849" s="34"/>
    </row>
    <row r="850" spans="1:10" x14ac:dyDescent="0.25">
      <c r="A850" s="34" t="s">
        <v>164</v>
      </c>
      <c r="B850" s="34" t="s">
        <v>165</v>
      </c>
      <c r="C850" t="s">
        <v>260</v>
      </c>
      <c r="D850" t="s">
        <v>174</v>
      </c>
      <c r="E850" t="s">
        <v>194</v>
      </c>
      <c r="F850" t="s">
        <v>168</v>
      </c>
      <c r="G850" t="s">
        <v>169</v>
      </c>
      <c r="H850">
        <v>649</v>
      </c>
      <c r="I850" s="34">
        <f>+POWER_Regional_Daily_20150101_20190305_c11b3312[[#This Row],[Column8]]/100</f>
        <v>6.49</v>
      </c>
      <c r="J850" s="34"/>
    </row>
    <row r="851" spans="1:10" x14ac:dyDescent="0.25">
      <c r="A851" s="34" t="s">
        <v>164</v>
      </c>
      <c r="B851" s="34" t="s">
        <v>165</v>
      </c>
      <c r="C851" t="s">
        <v>260</v>
      </c>
      <c r="D851" t="s">
        <v>174</v>
      </c>
      <c r="E851" t="s">
        <v>196</v>
      </c>
      <c r="F851" t="s">
        <v>233</v>
      </c>
      <c r="G851" t="s">
        <v>169</v>
      </c>
      <c r="H851">
        <v>477</v>
      </c>
      <c r="I851" s="34">
        <f>+POWER_Regional_Daily_20150101_20190305_c11b3312[[#This Row],[Column8]]/100</f>
        <v>4.7699999999999996</v>
      </c>
      <c r="J851" s="34"/>
    </row>
    <row r="852" spans="1:10" x14ac:dyDescent="0.25">
      <c r="A852" s="34" t="s">
        <v>164</v>
      </c>
      <c r="B852" s="34" t="s">
        <v>165</v>
      </c>
      <c r="C852" t="s">
        <v>260</v>
      </c>
      <c r="D852" t="s">
        <v>174</v>
      </c>
      <c r="E852" t="s">
        <v>198</v>
      </c>
      <c r="F852" t="s">
        <v>256</v>
      </c>
      <c r="G852" t="s">
        <v>169</v>
      </c>
      <c r="H852">
        <v>241</v>
      </c>
      <c r="I852" s="34">
        <f>+POWER_Regional_Daily_20150101_20190305_c11b3312[[#This Row],[Column8]]/100</f>
        <v>2.41</v>
      </c>
      <c r="J852" s="34"/>
    </row>
    <row r="853" spans="1:10" x14ac:dyDescent="0.25">
      <c r="A853" s="34" t="s">
        <v>164</v>
      </c>
      <c r="B853" s="34" t="s">
        <v>165</v>
      </c>
      <c r="C853" t="s">
        <v>260</v>
      </c>
      <c r="D853" t="s">
        <v>174</v>
      </c>
      <c r="E853" t="s">
        <v>199</v>
      </c>
      <c r="F853" t="s">
        <v>223</v>
      </c>
      <c r="G853" t="s">
        <v>169</v>
      </c>
      <c r="H853">
        <v>513</v>
      </c>
      <c r="I853" s="34">
        <f>+POWER_Regional_Daily_20150101_20190305_c11b3312[[#This Row],[Column8]]/100</f>
        <v>5.13</v>
      </c>
      <c r="J853" s="34"/>
    </row>
    <row r="854" spans="1:10" x14ac:dyDescent="0.25">
      <c r="A854" s="34" t="s">
        <v>164</v>
      </c>
      <c r="B854" s="34" t="s">
        <v>165</v>
      </c>
      <c r="C854" t="s">
        <v>260</v>
      </c>
      <c r="D854" t="s">
        <v>174</v>
      </c>
      <c r="E854" t="s">
        <v>200</v>
      </c>
      <c r="F854" t="s">
        <v>237</v>
      </c>
      <c r="G854" t="s">
        <v>169</v>
      </c>
      <c r="H854">
        <v>278</v>
      </c>
      <c r="I854" s="34">
        <f>+POWER_Regional_Daily_20150101_20190305_c11b3312[[#This Row],[Column8]]/100</f>
        <v>2.78</v>
      </c>
      <c r="J854" s="34"/>
    </row>
    <row r="855" spans="1:10" x14ac:dyDescent="0.25">
      <c r="A855" s="34" t="s">
        <v>164</v>
      </c>
      <c r="B855" s="34" t="s">
        <v>165</v>
      </c>
      <c r="C855" t="s">
        <v>260</v>
      </c>
      <c r="D855" t="s">
        <v>174</v>
      </c>
      <c r="E855" t="s">
        <v>202</v>
      </c>
      <c r="F855" t="s">
        <v>227</v>
      </c>
      <c r="G855" t="s">
        <v>169</v>
      </c>
      <c r="H855">
        <v>338</v>
      </c>
      <c r="I855" s="34">
        <f>+POWER_Regional_Daily_20150101_20190305_c11b3312[[#This Row],[Column8]]/100</f>
        <v>3.38</v>
      </c>
      <c r="J855" s="34"/>
    </row>
    <row r="856" spans="1:10" x14ac:dyDescent="0.25">
      <c r="A856" s="34" t="s">
        <v>164</v>
      </c>
      <c r="B856" s="34" t="s">
        <v>165</v>
      </c>
      <c r="C856" t="s">
        <v>260</v>
      </c>
      <c r="D856" t="s">
        <v>174</v>
      </c>
      <c r="E856" t="s">
        <v>203</v>
      </c>
      <c r="F856" t="s">
        <v>231</v>
      </c>
      <c r="G856" t="s">
        <v>169</v>
      </c>
      <c r="H856">
        <v>497</v>
      </c>
      <c r="I856" s="34">
        <f>+POWER_Regional_Daily_20150101_20190305_c11b3312[[#This Row],[Column8]]/100</f>
        <v>4.97</v>
      </c>
      <c r="J856" s="34"/>
    </row>
    <row r="857" spans="1:10" x14ac:dyDescent="0.25">
      <c r="A857" s="34" t="s">
        <v>164</v>
      </c>
      <c r="B857" s="34" t="s">
        <v>165</v>
      </c>
      <c r="C857" t="s">
        <v>260</v>
      </c>
      <c r="D857" t="s">
        <v>174</v>
      </c>
      <c r="E857" t="s">
        <v>205</v>
      </c>
      <c r="F857" t="s">
        <v>187</v>
      </c>
      <c r="G857" t="s">
        <v>169</v>
      </c>
      <c r="H857">
        <v>-999</v>
      </c>
      <c r="I857" s="34">
        <f>+POWER_Regional_Daily_20150101_20190305_c11b3312[[#This Row],[Column8]]/100</f>
        <v>-9.99</v>
      </c>
      <c r="J857" s="34"/>
    </row>
    <row r="858" spans="1:10" x14ac:dyDescent="0.25">
      <c r="A858" s="34" t="s">
        <v>164</v>
      </c>
      <c r="B858" s="34" t="s">
        <v>165</v>
      </c>
      <c r="C858" t="s">
        <v>260</v>
      </c>
      <c r="D858" t="s">
        <v>174</v>
      </c>
      <c r="E858" t="s">
        <v>207</v>
      </c>
      <c r="F858" t="s">
        <v>213</v>
      </c>
      <c r="G858" t="s">
        <v>169</v>
      </c>
      <c r="H858">
        <v>565</v>
      </c>
      <c r="I858" s="34">
        <f>+POWER_Regional_Daily_20150101_20190305_c11b3312[[#This Row],[Column8]]/100</f>
        <v>5.65</v>
      </c>
      <c r="J858" s="34"/>
    </row>
    <row r="859" spans="1:10" x14ac:dyDescent="0.25">
      <c r="A859" s="34" t="s">
        <v>164</v>
      </c>
      <c r="B859" s="34" t="s">
        <v>165</v>
      </c>
      <c r="C859" t="s">
        <v>260</v>
      </c>
      <c r="D859" t="s">
        <v>174</v>
      </c>
      <c r="E859" t="s">
        <v>208</v>
      </c>
      <c r="F859" t="s">
        <v>240</v>
      </c>
      <c r="G859" t="s">
        <v>169</v>
      </c>
      <c r="H859">
        <v>293</v>
      </c>
      <c r="I859" s="34">
        <f>+POWER_Regional_Daily_20150101_20190305_c11b3312[[#This Row],[Column8]]/100</f>
        <v>2.93</v>
      </c>
      <c r="J859" s="34"/>
    </row>
    <row r="860" spans="1:10" x14ac:dyDescent="0.25">
      <c r="A860" s="34" t="s">
        <v>164</v>
      </c>
      <c r="B860" s="34" t="s">
        <v>165</v>
      </c>
      <c r="C860" t="s">
        <v>260</v>
      </c>
      <c r="D860" t="s">
        <v>174</v>
      </c>
      <c r="E860" t="s">
        <v>210</v>
      </c>
      <c r="F860" t="s">
        <v>197</v>
      </c>
      <c r="G860" t="s">
        <v>169</v>
      </c>
      <c r="H860">
        <v>454</v>
      </c>
      <c r="I860" s="34">
        <f>+POWER_Regional_Daily_20150101_20190305_c11b3312[[#This Row],[Column8]]/100</f>
        <v>4.54</v>
      </c>
      <c r="J860" s="34"/>
    </row>
    <row r="861" spans="1:10" x14ac:dyDescent="0.25">
      <c r="A861" s="34" t="s">
        <v>164</v>
      </c>
      <c r="B861" s="34" t="s">
        <v>165</v>
      </c>
      <c r="C861" t="s">
        <v>260</v>
      </c>
      <c r="D861" t="s">
        <v>174</v>
      </c>
      <c r="E861" t="s">
        <v>212</v>
      </c>
      <c r="F861" t="s">
        <v>230</v>
      </c>
      <c r="G861" t="s">
        <v>169</v>
      </c>
      <c r="H861">
        <v>382</v>
      </c>
      <c r="I861" s="34">
        <f>+POWER_Regional_Daily_20150101_20190305_c11b3312[[#This Row],[Column8]]/100</f>
        <v>3.82</v>
      </c>
      <c r="J861" s="34"/>
    </row>
    <row r="862" spans="1:10" x14ac:dyDescent="0.25">
      <c r="A862" s="34" t="s">
        <v>164</v>
      </c>
      <c r="B862" s="34" t="s">
        <v>165</v>
      </c>
      <c r="C862" t="s">
        <v>260</v>
      </c>
      <c r="D862" t="s">
        <v>174</v>
      </c>
      <c r="E862" t="s">
        <v>214</v>
      </c>
      <c r="F862" t="s">
        <v>238</v>
      </c>
      <c r="G862" t="s">
        <v>169</v>
      </c>
      <c r="H862">
        <v>645</v>
      </c>
      <c r="I862" s="34">
        <f>+POWER_Regional_Daily_20150101_20190305_c11b3312[[#This Row],[Column8]]/100</f>
        <v>6.45</v>
      </c>
      <c r="J862" s="34"/>
    </row>
    <row r="863" spans="1:10" x14ac:dyDescent="0.25">
      <c r="A863" s="34" t="s">
        <v>164</v>
      </c>
      <c r="B863" s="34" t="s">
        <v>165</v>
      </c>
      <c r="C863" t="s">
        <v>260</v>
      </c>
      <c r="D863" t="s">
        <v>174</v>
      </c>
      <c r="E863" t="s">
        <v>215</v>
      </c>
      <c r="F863" t="s">
        <v>201</v>
      </c>
      <c r="G863" t="s">
        <v>169</v>
      </c>
      <c r="H863">
        <v>543</v>
      </c>
      <c r="I863" s="34">
        <f>+POWER_Regional_Daily_20150101_20190305_c11b3312[[#This Row],[Column8]]/100</f>
        <v>5.43</v>
      </c>
      <c r="J863" s="34"/>
    </row>
    <row r="864" spans="1:10" x14ac:dyDescent="0.25">
      <c r="A864" s="34" t="s">
        <v>164</v>
      </c>
      <c r="B864" s="34" t="s">
        <v>165</v>
      </c>
      <c r="C864" t="s">
        <v>260</v>
      </c>
      <c r="D864" t="s">
        <v>174</v>
      </c>
      <c r="E864" t="s">
        <v>217</v>
      </c>
      <c r="F864" t="s">
        <v>197</v>
      </c>
      <c r="G864" t="s">
        <v>169</v>
      </c>
      <c r="H864">
        <v>456</v>
      </c>
      <c r="I864" s="34">
        <f>+POWER_Regional_Daily_20150101_20190305_c11b3312[[#This Row],[Column8]]/100</f>
        <v>4.5599999999999996</v>
      </c>
      <c r="J864" s="34"/>
    </row>
    <row r="865" spans="1:10" x14ac:dyDescent="0.25">
      <c r="A865" s="34" t="s">
        <v>164</v>
      </c>
      <c r="B865" s="34" t="s">
        <v>165</v>
      </c>
      <c r="C865" t="s">
        <v>260</v>
      </c>
      <c r="D865" t="s">
        <v>174</v>
      </c>
      <c r="E865" t="s">
        <v>219</v>
      </c>
      <c r="F865" t="s">
        <v>241</v>
      </c>
      <c r="G865" t="s">
        <v>169</v>
      </c>
      <c r="H865">
        <v>298</v>
      </c>
      <c r="I865" s="34">
        <f>+POWER_Regional_Daily_20150101_20190305_c11b3312[[#This Row],[Column8]]/100</f>
        <v>2.98</v>
      </c>
      <c r="J865" s="34"/>
    </row>
    <row r="866" spans="1:10" x14ac:dyDescent="0.25">
      <c r="A866" s="34" t="s">
        <v>164</v>
      </c>
      <c r="B866" s="34" t="s">
        <v>165</v>
      </c>
      <c r="C866" t="s">
        <v>260</v>
      </c>
      <c r="D866" t="s">
        <v>175</v>
      </c>
      <c r="E866" t="s">
        <v>167</v>
      </c>
      <c r="F866" t="s">
        <v>230</v>
      </c>
      <c r="G866" t="s">
        <v>169</v>
      </c>
      <c r="H866">
        <v>376</v>
      </c>
      <c r="I866" s="34">
        <f>+POWER_Regional_Daily_20150101_20190305_c11b3312[[#This Row],[Column8]]/100</f>
        <v>3.76</v>
      </c>
      <c r="J866" s="34"/>
    </row>
    <row r="867" spans="1:10" x14ac:dyDescent="0.25">
      <c r="A867" s="34" t="s">
        <v>164</v>
      </c>
      <c r="B867" s="34" t="s">
        <v>165</v>
      </c>
      <c r="C867" t="s">
        <v>260</v>
      </c>
      <c r="D867" t="s">
        <v>175</v>
      </c>
      <c r="E867" t="s">
        <v>170</v>
      </c>
      <c r="F867" t="s">
        <v>204</v>
      </c>
      <c r="G867" t="s">
        <v>169</v>
      </c>
      <c r="H867">
        <v>440</v>
      </c>
      <c r="I867" s="34">
        <f>+POWER_Regional_Daily_20150101_20190305_c11b3312[[#This Row],[Column8]]/100</f>
        <v>4.4000000000000004</v>
      </c>
      <c r="J867" s="34"/>
    </row>
    <row r="868" spans="1:10" x14ac:dyDescent="0.25">
      <c r="A868" s="34" t="s">
        <v>164</v>
      </c>
      <c r="B868" s="34" t="s">
        <v>165</v>
      </c>
      <c r="C868" t="s">
        <v>260</v>
      </c>
      <c r="D868" t="s">
        <v>175</v>
      </c>
      <c r="E868" t="s">
        <v>172</v>
      </c>
      <c r="F868" t="s">
        <v>228</v>
      </c>
      <c r="G868" t="s">
        <v>169</v>
      </c>
      <c r="H868">
        <v>264</v>
      </c>
      <c r="I868" s="34">
        <f>+POWER_Regional_Daily_20150101_20190305_c11b3312[[#This Row],[Column8]]/100</f>
        <v>2.64</v>
      </c>
      <c r="J868" s="34"/>
    </row>
    <row r="869" spans="1:10" x14ac:dyDescent="0.25">
      <c r="A869" s="34" t="s">
        <v>164</v>
      </c>
      <c r="B869" s="34" t="s">
        <v>165</v>
      </c>
      <c r="C869" t="s">
        <v>260</v>
      </c>
      <c r="D869" t="s">
        <v>175</v>
      </c>
      <c r="E869" t="s">
        <v>174</v>
      </c>
      <c r="F869" t="s">
        <v>209</v>
      </c>
      <c r="G869" t="s">
        <v>169</v>
      </c>
      <c r="H869">
        <v>526</v>
      </c>
      <c r="I869" s="34">
        <f>+POWER_Regional_Daily_20150101_20190305_c11b3312[[#This Row],[Column8]]/100</f>
        <v>5.26</v>
      </c>
      <c r="J869" s="34"/>
    </row>
    <row r="870" spans="1:10" x14ac:dyDescent="0.25">
      <c r="A870" s="34" t="s">
        <v>164</v>
      </c>
      <c r="B870" s="34" t="s">
        <v>165</v>
      </c>
      <c r="C870" t="s">
        <v>260</v>
      </c>
      <c r="D870" t="s">
        <v>175</v>
      </c>
      <c r="E870" t="s">
        <v>175</v>
      </c>
      <c r="F870" t="s">
        <v>211</v>
      </c>
      <c r="G870" t="s">
        <v>169</v>
      </c>
      <c r="H870">
        <v>426</v>
      </c>
      <c r="I870" s="34">
        <f>+POWER_Regional_Daily_20150101_20190305_c11b3312[[#This Row],[Column8]]/100</f>
        <v>4.26</v>
      </c>
      <c r="J870" s="34"/>
    </row>
    <row r="871" spans="1:10" x14ac:dyDescent="0.25">
      <c r="A871" s="34" t="s">
        <v>164</v>
      </c>
      <c r="B871" s="34" t="s">
        <v>165</v>
      </c>
      <c r="C871" t="s">
        <v>260</v>
      </c>
      <c r="D871" t="s">
        <v>175</v>
      </c>
      <c r="E871" t="s">
        <v>177</v>
      </c>
      <c r="F871" t="s">
        <v>211</v>
      </c>
      <c r="G871" t="s">
        <v>169</v>
      </c>
      <c r="H871">
        <v>430</v>
      </c>
      <c r="I871" s="34">
        <f>+POWER_Regional_Daily_20150101_20190305_c11b3312[[#This Row],[Column8]]/100</f>
        <v>4.3</v>
      </c>
      <c r="J871" s="34"/>
    </row>
    <row r="872" spans="1:10" x14ac:dyDescent="0.25">
      <c r="A872" s="34" t="s">
        <v>164</v>
      </c>
      <c r="B872" s="34" t="s">
        <v>165</v>
      </c>
      <c r="C872" t="s">
        <v>260</v>
      </c>
      <c r="D872" t="s">
        <v>175</v>
      </c>
      <c r="E872" t="s">
        <v>178</v>
      </c>
      <c r="F872" t="s">
        <v>206</v>
      </c>
      <c r="G872" t="s">
        <v>169</v>
      </c>
      <c r="H872">
        <v>395</v>
      </c>
      <c r="I872" s="34">
        <f>+POWER_Regional_Daily_20150101_20190305_c11b3312[[#This Row],[Column8]]/100</f>
        <v>3.95</v>
      </c>
      <c r="J872" s="34"/>
    </row>
    <row r="873" spans="1:10" x14ac:dyDescent="0.25">
      <c r="A873" s="34" t="s">
        <v>164</v>
      </c>
      <c r="B873" s="34" t="s">
        <v>165</v>
      </c>
      <c r="C873" t="s">
        <v>260</v>
      </c>
      <c r="D873" t="s">
        <v>175</v>
      </c>
      <c r="E873" t="s">
        <v>180</v>
      </c>
      <c r="F873" t="s">
        <v>187</v>
      </c>
      <c r="G873" t="s">
        <v>169</v>
      </c>
      <c r="H873">
        <v>-999</v>
      </c>
      <c r="I873" s="34">
        <f>+POWER_Regional_Daily_20150101_20190305_c11b3312[[#This Row],[Column8]]/100</f>
        <v>-9.99</v>
      </c>
      <c r="J873" s="34"/>
    </row>
    <row r="874" spans="1:10" x14ac:dyDescent="0.25">
      <c r="A874" s="34" t="s">
        <v>164</v>
      </c>
      <c r="B874" s="34" t="s">
        <v>165</v>
      </c>
      <c r="C874" t="s">
        <v>260</v>
      </c>
      <c r="D874" t="s">
        <v>175</v>
      </c>
      <c r="E874" t="s">
        <v>182</v>
      </c>
      <c r="F874" t="s">
        <v>227</v>
      </c>
      <c r="G874" t="s">
        <v>169</v>
      </c>
      <c r="H874">
        <v>338</v>
      </c>
      <c r="I874" s="34">
        <f>+POWER_Regional_Daily_20150101_20190305_c11b3312[[#This Row],[Column8]]/100</f>
        <v>3.38</v>
      </c>
      <c r="J874" s="34"/>
    </row>
    <row r="875" spans="1:10" x14ac:dyDescent="0.25">
      <c r="A875" s="34" t="s">
        <v>164</v>
      </c>
      <c r="B875" s="34" t="s">
        <v>165</v>
      </c>
      <c r="C875" t="s">
        <v>260</v>
      </c>
      <c r="D875" t="s">
        <v>175</v>
      </c>
      <c r="E875" t="s">
        <v>184</v>
      </c>
      <c r="F875" t="s">
        <v>206</v>
      </c>
      <c r="G875" t="s">
        <v>169</v>
      </c>
      <c r="H875">
        <v>392</v>
      </c>
      <c r="I875" s="34">
        <f>+POWER_Regional_Daily_20150101_20190305_c11b3312[[#This Row],[Column8]]/100</f>
        <v>3.92</v>
      </c>
      <c r="J875" s="34"/>
    </row>
    <row r="876" spans="1:10" x14ac:dyDescent="0.25">
      <c r="A876" s="34" t="s">
        <v>164</v>
      </c>
      <c r="B876" s="34" t="s">
        <v>165</v>
      </c>
      <c r="C876" t="s">
        <v>260</v>
      </c>
      <c r="D876" t="s">
        <v>175</v>
      </c>
      <c r="E876" t="s">
        <v>186</v>
      </c>
      <c r="F876" t="s">
        <v>225</v>
      </c>
      <c r="G876" t="s">
        <v>169</v>
      </c>
      <c r="H876">
        <v>300</v>
      </c>
      <c r="I876" s="34">
        <f>+POWER_Regional_Daily_20150101_20190305_c11b3312[[#This Row],[Column8]]/100</f>
        <v>3</v>
      </c>
      <c r="J876" s="34"/>
    </row>
    <row r="877" spans="1:10" x14ac:dyDescent="0.25">
      <c r="A877" s="34" t="s">
        <v>164</v>
      </c>
      <c r="B877" s="34" t="s">
        <v>165</v>
      </c>
      <c r="C877" t="s">
        <v>260</v>
      </c>
      <c r="D877" t="s">
        <v>175</v>
      </c>
      <c r="E877" t="s">
        <v>188</v>
      </c>
      <c r="F877" t="s">
        <v>227</v>
      </c>
      <c r="G877" t="s">
        <v>169</v>
      </c>
      <c r="H877">
        <v>336</v>
      </c>
      <c r="I877" s="34">
        <f>+POWER_Regional_Daily_20150101_20190305_c11b3312[[#This Row],[Column8]]/100</f>
        <v>3.36</v>
      </c>
      <c r="J877" s="34"/>
    </row>
    <row r="878" spans="1:10" x14ac:dyDescent="0.25">
      <c r="A878" s="34" t="s">
        <v>164</v>
      </c>
      <c r="B878" s="34" t="s">
        <v>165</v>
      </c>
      <c r="C878" t="s">
        <v>260</v>
      </c>
      <c r="D878" t="s">
        <v>175</v>
      </c>
      <c r="E878" t="s">
        <v>190</v>
      </c>
      <c r="F878" t="s">
        <v>197</v>
      </c>
      <c r="G878" t="s">
        <v>169</v>
      </c>
      <c r="H878">
        <v>449</v>
      </c>
      <c r="I878" s="34">
        <f>+POWER_Regional_Daily_20150101_20190305_c11b3312[[#This Row],[Column8]]/100</f>
        <v>4.49</v>
      </c>
      <c r="J878" s="34"/>
    </row>
    <row r="879" spans="1:10" x14ac:dyDescent="0.25">
      <c r="A879" s="34" t="s">
        <v>164</v>
      </c>
      <c r="B879" s="34" t="s">
        <v>165</v>
      </c>
      <c r="C879" t="s">
        <v>260</v>
      </c>
      <c r="D879" t="s">
        <v>175</v>
      </c>
      <c r="E879" t="s">
        <v>192</v>
      </c>
      <c r="F879" t="s">
        <v>233</v>
      </c>
      <c r="G879" t="s">
        <v>169</v>
      </c>
      <c r="H879">
        <v>464</v>
      </c>
      <c r="I879" s="34">
        <f>+POWER_Regional_Daily_20150101_20190305_c11b3312[[#This Row],[Column8]]/100</f>
        <v>4.6399999999999997</v>
      </c>
      <c r="J879" s="34"/>
    </row>
    <row r="880" spans="1:10" x14ac:dyDescent="0.25">
      <c r="A880" s="34" t="s">
        <v>164</v>
      </c>
      <c r="B880" s="34" t="s">
        <v>165</v>
      </c>
      <c r="C880" t="s">
        <v>260</v>
      </c>
      <c r="D880" t="s">
        <v>175</v>
      </c>
      <c r="E880" t="s">
        <v>194</v>
      </c>
      <c r="F880" t="s">
        <v>209</v>
      </c>
      <c r="G880" t="s">
        <v>169</v>
      </c>
      <c r="H880">
        <v>513</v>
      </c>
      <c r="I880" s="34">
        <f>+POWER_Regional_Daily_20150101_20190305_c11b3312[[#This Row],[Column8]]/100</f>
        <v>5.13</v>
      </c>
      <c r="J880" s="34"/>
    </row>
    <row r="881" spans="1:10" x14ac:dyDescent="0.25">
      <c r="A881" s="34" t="s">
        <v>164</v>
      </c>
      <c r="B881" s="34" t="s">
        <v>165</v>
      </c>
      <c r="C881" t="s">
        <v>260</v>
      </c>
      <c r="D881" t="s">
        <v>175</v>
      </c>
      <c r="E881" t="s">
        <v>196</v>
      </c>
      <c r="F881" t="s">
        <v>235</v>
      </c>
      <c r="G881" t="s">
        <v>169</v>
      </c>
      <c r="H881">
        <v>500</v>
      </c>
      <c r="I881" s="34">
        <f>+POWER_Regional_Daily_20150101_20190305_c11b3312[[#This Row],[Column8]]/100</f>
        <v>5</v>
      </c>
      <c r="J881" s="34"/>
    </row>
    <row r="882" spans="1:10" x14ac:dyDescent="0.25">
      <c r="A882" s="34" t="s">
        <v>164</v>
      </c>
      <c r="B882" s="34" t="s">
        <v>165</v>
      </c>
      <c r="C882" t="s">
        <v>260</v>
      </c>
      <c r="D882" t="s">
        <v>175</v>
      </c>
      <c r="E882" t="s">
        <v>198</v>
      </c>
      <c r="F882" t="s">
        <v>204</v>
      </c>
      <c r="G882" t="s">
        <v>169</v>
      </c>
      <c r="H882">
        <v>438</v>
      </c>
      <c r="I882" s="34">
        <f>+POWER_Regional_Daily_20150101_20190305_c11b3312[[#This Row],[Column8]]/100</f>
        <v>4.38</v>
      </c>
      <c r="J882" s="34"/>
    </row>
    <row r="883" spans="1:10" x14ac:dyDescent="0.25">
      <c r="A883" s="34" t="s">
        <v>164</v>
      </c>
      <c r="B883" s="34" t="s">
        <v>165</v>
      </c>
      <c r="C883" t="s">
        <v>260</v>
      </c>
      <c r="D883" t="s">
        <v>175</v>
      </c>
      <c r="E883" t="s">
        <v>199</v>
      </c>
      <c r="F883" t="s">
        <v>218</v>
      </c>
      <c r="G883" t="s">
        <v>169</v>
      </c>
      <c r="H883">
        <v>586</v>
      </c>
      <c r="I883" s="34">
        <f>+POWER_Regional_Daily_20150101_20190305_c11b3312[[#This Row],[Column8]]/100</f>
        <v>5.86</v>
      </c>
      <c r="J883" s="34"/>
    </row>
    <row r="884" spans="1:10" x14ac:dyDescent="0.25">
      <c r="A884" s="34" t="s">
        <v>164</v>
      </c>
      <c r="B884" s="34" t="s">
        <v>165</v>
      </c>
      <c r="C884" t="s">
        <v>260</v>
      </c>
      <c r="D884" t="s">
        <v>175</v>
      </c>
      <c r="E884" t="s">
        <v>200</v>
      </c>
      <c r="F884" t="s">
        <v>250</v>
      </c>
      <c r="G884" t="s">
        <v>169</v>
      </c>
      <c r="H884">
        <v>643</v>
      </c>
      <c r="I884" s="34">
        <f>+POWER_Regional_Daily_20150101_20190305_c11b3312[[#This Row],[Column8]]/100</f>
        <v>6.43</v>
      </c>
      <c r="J884" s="34"/>
    </row>
    <row r="885" spans="1:10" x14ac:dyDescent="0.25">
      <c r="A885" s="34" t="s">
        <v>164</v>
      </c>
      <c r="B885" s="34" t="s">
        <v>165</v>
      </c>
      <c r="C885" t="s">
        <v>260</v>
      </c>
      <c r="D885" t="s">
        <v>175</v>
      </c>
      <c r="E885" t="s">
        <v>202</v>
      </c>
      <c r="F885" t="s">
        <v>206</v>
      </c>
      <c r="G885" t="s">
        <v>169</v>
      </c>
      <c r="H885">
        <v>387</v>
      </c>
      <c r="I885" s="34">
        <f>+POWER_Regional_Daily_20150101_20190305_c11b3312[[#This Row],[Column8]]/100</f>
        <v>3.87</v>
      </c>
      <c r="J885" s="34"/>
    </row>
    <row r="886" spans="1:10" x14ac:dyDescent="0.25">
      <c r="A886" s="34" t="s">
        <v>164</v>
      </c>
      <c r="B886" s="34" t="s">
        <v>165</v>
      </c>
      <c r="C886" t="s">
        <v>260</v>
      </c>
      <c r="D886" t="s">
        <v>175</v>
      </c>
      <c r="E886" t="s">
        <v>203</v>
      </c>
      <c r="F886" t="s">
        <v>231</v>
      </c>
      <c r="G886" t="s">
        <v>169</v>
      </c>
      <c r="H886">
        <v>479</v>
      </c>
      <c r="I886" s="34">
        <f>+POWER_Regional_Daily_20150101_20190305_c11b3312[[#This Row],[Column8]]/100</f>
        <v>4.79</v>
      </c>
      <c r="J886" s="34"/>
    </row>
    <row r="887" spans="1:10" x14ac:dyDescent="0.25">
      <c r="A887" s="34" t="s">
        <v>164</v>
      </c>
      <c r="B887" s="34" t="s">
        <v>165</v>
      </c>
      <c r="C887" t="s">
        <v>260</v>
      </c>
      <c r="D887" t="s">
        <v>175</v>
      </c>
      <c r="E887" t="s">
        <v>205</v>
      </c>
      <c r="F887" t="s">
        <v>242</v>
      </c>
      <c r="G887" t="s">
        <v>169</v>
      </c>
      <c r="H887">
        <v>255</v>
      </c>
      <c r="I887" s="34">
        <f>+POWER_Regional_Daily_20150101_20190305_c11b3312[[#This Row],[Column8]]/100</f>
        <v>2.5499999999999998</v>
      </c>
      <c r="J887" s="34"/>
    </row>
    <row r="888" spans="1:10" x14ac:dyDescent="0.25">
      <c r="A888" s="34" t="s">
        <v>164</v>
      </c>
      <c r="B888" s="34" t="s">
        <v>165</v>
      </c>
      <c r="C888" t="s">
        <v>260</v>
      </c>
      <c r="D888" t="s">
        <v>175</v>
      </c>
      <c r="E888" t="s">
        <v>207</v>
      </c>
      <c r="F888" t="s">
        <v>201</v>
      </c>
      <c r="G888" t="s">
        <v>169</v>
      </c>
      <c r="H888">
        <v>534</v>
      </c>
      <c r="I888" s="34">
        <f>+POWER_Regional_Daily_20150101_20190305_c11b3312[[#This Row],[Column8]]/100</f>
        <v>5.34</v>
      </c>
      <c r="J888" s="34"/>
    </row>
    <row r="889" spans="1:10" x14ac:dyDescent="0.25">
      <c r="A889" s="34" t="s">
        <v>164</v>
      </c>
      <c r="B889" s="34" t="s">
        <v>165</v>
      </c>
      <c r="C889" t="s">
        <v>260</v>
      </c>
      <c r="D889" t="s">
        <v>175</v>
      </c>
      <c r="E889" t="s">
        <v>208</v>
      </c>
      <c r="F889" t="s">
        <v>187</v>
      </c>
      <c r="G889" t="s">
        <v>169</v>
      </c>
      <c r="H889">
        <v>-999</v>
      </c>
      <c r="I889" s="34">
        <f>+POWER_Regional_Daily_20150101_20190305_c11b3312[[#This Row],[Column8]]/100</f>
        <v>-9.99</v>
      </c>
      <c r="J889" s="34"/>
    </row>
    <row r="890" spans="1:10" x14ac:dyDescent="0.25">
      <c r="A890" s="34" t="s">
        <v>164</v>
      </c>
      <c r="B890" s="34" t="s">
        <v>165</v>
      </c>
      <c r="C890" t="s">
        <v>260</v>
      </c>
      <c r="D890" t="s">
        <v>175</v>
      </c>
      <c r="E890" t="s">
        <v>210</v>
      </c>
      <c r="F890" t="s">
        <v>183</v>
      </c>
      <c r="G890" t="s">
        <v>169</v>
      </c>
      <c r="H890">
        <v>574</v>
      </c>
      <c r="I890" s="34">
        <f>+POWER_Regional_Daily_20150101_20190305_c11b3312[[#This Row],[Column8]]/100</f>
        <v>5.74</v>
      </c>
      <c r="J890" s="34"/>
    </row>
    <row r="891" spans="1:10" x14ac:dyDescent="0.25">
      <c r="A891" s="34" t="s">
        <v>164</v>
      </c>
      <c r="B891" s="34" t="s">
        <v>165</v>
      </c>
      <c r="C891" t="s">
        <v>260</v>
      </c>
      <c r="D891" t="s">
        <v>175</v>
      </c>
      <c r="E891" t="s">
        <v>212</v>
      </c>
      <c r="F891" t="s">
        <v>183</v>
      </c>
      <c r="G891" t="s">
        <v>169</v>
      </c>
      <c r="H891">
        <v>572</v>
      </c>
      <c r="I891" s="34">
        <f>+POWER_Regional_Daily_20150101_20190305_c11b3312[[#This Row],[Column8]]/100</f>
        <v>5.72</v>
      </c>
      <c r="J891" s="34"/>
    </row>
    <row r="892" spans="1:10" x14ac:dyDescent="0.25">
      <c r="A892" s="34" t="s">
        <v>164</v>
      </c>
      <c r="B892" s="34" t="s">
        <v>165</v>
      </c>
      <c r="C892" t="s">
        <v>260</v>
      </c>
      <c r="D892" t="s">
        <v>175</v>
      </c>
      <c r="E892" t="s">
        <v>214</v>
      </c>
      <c r="F892" t="s">
        <v>204</v>
      </c>
      <c r="G892" t="s">
        <v>169</v>
      </c>
      <c r="H892">
        <v>433</v>
      </c>
      <c r="I892" s="34">
        <f>+POWER_Regional_Daily_20150101_20190305_c11b3312[[#This Row],[Column8]]/100</f>
        <v>4.33</v>
      </c>
      <c r="J892" s="34"/>
    </row>
    <row r="893" spans="1:10" x14ac:dyDescent="0.25">
      <c r="A893" s="34" t="s">
        <v>164</v>
      </c>
      <c r="B893" s="34" t="s">
        <v>165</v>
      </c>
      <c r="C893" t="s">
        <v>260</v>
      </c>
      <c r="D893" t="s">
        <v>175</v>
      </c>
      <c r="E893" t="s">
        <v>215</v>
      </c>
      <c r="F893" t="s">
        <v>183</v>
      </c>
      <c r="G893" t="s">
        <v>169</v>
      </c>
      <c r="H893">
        <v>570</v>
      </c>
      <c r="I893" s="34">
        <f>+POWER_Regional_Daily_20150101_20190305_c11b3312[[#This Row],[Column8]]/100</f>
        <v>5.7</v>
      </c>
      <c r="J893" s="34"/>
    </row>
    <row r="894" spans="1:10" x14ac:dyDescent="0.25">
      <c r="A894" s="34" t="s">
        <v>164</v>
      </c>
      <c r="B894" s="34" t="s">
        <v>165</v>
      </c>
      <c r="C894" t="s">
        <v>260</v>
      </c>
      <c r="D894" t="s">
        <v>175</v>
      </c>
      <c r="E894" t="s">
        <v>217</v>
      </c>
      <c r="F894" t="s">
        <v>195</v>
      </c>
      <c r="G894" t="s">
        <v>169</v>
      </c>
      <c r="H894">
        <v>466</v>
      </c>
      <c r="I894" s="34">
        <f>+POWER_Regional_Daily_20150101_20190305_c11b3312[[#This Row],[Column8]]/100</f>
        <v>4.66</v>
      </c>
      <c r="J894" s="34"/>
    </row>
    <row r="895" spans="1:10" x14ac:dyDescent="0.25">
      <c r="A895" s="34" t="s">
        <v>164</v>
      </c>
      <c r="B895" s="34" t="s">
        <v>165</v>
      </c>
      <c r="C895" t="s">
        <v>260</v>
      </c>
      <c r="D895" t="s">
        <v>175</v>
      </c>
      <c r="E895" t="s">
        <v>219</v>
      </c>
      <c r="F895" t="s">
        <v>222</v>
      </c>
      <c r="G895" t="s">
        <v>169</v>
      </c>
      <c r="H895">
        <v>541</v>
      </c>
      <c r="I895" s="34">
        <f>+POWER_Regional_Daily_20150101_20190305_c11b3312[[#This Row],[Column8]]/100</f>
        <v>5.41</v>
      </c>
      <c r="J895" s="34"/>
    </row>
    <row r="896" spans="1:10" x14ac:dyDescent="0.25">
      <c r="A896" s="34" t="s">
        <v>164</v>
      </c>
      <c r="B896" s="34" t="s">
        <v>165</v>
      </c>
      <c r="C896" t="s">
        <v>260</v>
      </c>
      <c r="D896" t="s">
        <v>175</v>
      </c>
      <c r="E896" t="s">
        <v>220</v>
      </c>
      <c r="F896" t="s">
        <v>233</v>
      </c>
      <c r="G896" t="s">
        <v>169</v>
      </c>
      <c r="H896">
        <v>456</v>
      </c>
      <c r="I896" s="34">
        <f>+POWER_Regional_Daily_20150101_20190305_c11b3312[[#This Row],[Column8]]/100</f>
        <v>4.5599999999999996</v>
      </c>
      <c r="J896" s="34"/>
    </row>
    <row r="897" spans="1:10" x14ac:dyDescent="0.25">
      <c r="A897" s="34" t="s">
        <v>164</v>
      </c>
      <c r="B897" s="34" t="s">
        <v>165</v>
      </c>
      <c r="C897" t="s">
        <v>260</v>
      </c>
      <c r="D897" t="s">
        <v>177</v>
      </c>
      <c r="E897" t="s">
        <v>167</v>
      </c>
      <c r="F897" t="s">
        <v>181</v>
      </c>
      <c r="G897" t="s">
        <v>169</v>
      </c>
      <c r="H897">
        <v>552</v>
      </c>
      <c r="I897" s="34">
        <f>+POWER_Regional_Daily_20150101_20190305_c11b3312[[#This Row],[Column8]]/100</f>
        <v>5.52</v>
      </c>
      <c r="J897" s="34"/>
    </row>
    <row r="898" spans="1:10" x14ac:dyDescent="0.25">
      <c r="A898" s="34" t="s">
        <v>164</v>
      </c>
      <c r="B898" s="34" t="s">
        <v>165</v>
      </c>
      <c r="C898" t="s">
        <v>260</v>
      </c>
      <c r="D898" t="s">
        <v>177</v>
      </c>
      <c r="E898" t="s">
        <v>170</v>
      </c>
      <c r="F898" t="s">
        <v>201</v>
      </c>
      <c r="G898" t="s">
        <v>169</v>
      </c>
      <c r="H898">
        <v>525</v>
      </c>
      <c r="I898" s="34">
        <f>+POWER_Regional_Daily_20150101_20190305_c11b3312[[#This Row],[Column8]]/100</f>
        <v>5.25</v>
      </c>
      <c r="J898" s="34"/>
    </row>
    <row r="899" spans="1:10" x14ac:dyDescent="0.25">
      <c r="A899" s="34" t="s">
        <v>164</v>
      </c>
      <c r="B899" s="34" t="s">
        <v>165</v>
      </c>
      <c r="C899" t="s">
        <v>260</v>
      </c>
      <c r="D899" t="s">
        <v>177</v>
      </c>
      <c r="E899" t="s">
        <v>172</v>
      </c>
      <c r="F899" t="s">
        <v>250</v>
      </c>
      <c r="G899" t="s">
        <v>169</v>
      </c>
      <c r="H899">
        <v>634</v>
      </c>
      <c r="I899" s="34">
        <f>+POWER_Regional_Daily_20150101_20190305_c11b3312[[#This Row],[Column8]]/100</f>
        <v>6.34</v>
      </c>
      <c r="J899" s="34"/>
    </row>
    <row r="900" spans="1:10" x14ac:dyDescent="0.25">
      <c r="A900" s="34" t="s">
        <v>164</v>
      </c>
      <c r="B900" s="34" t="s">
        <v>165</v>
      </c>
      <c r="C900" t="s">
        <v>260</v>
      </c>
      <c r="D900" t="s">
        <v>177</v>
      </c>
      <c r="E900" t="s">
        <v>174</v>
      </c>
      <c r="F900" t="s">
        <v>221</v>
      </c>
      <c r="G900" t="s">
        <v>169</v>
      </c>
      <c r="H900">
        <v>405</v>
      </c>
      <c r="I900" s="34">
        <f>+POWER_Regional_Daily_20150101_20190305_c11b3312[[#This Row],[Column8]]/100</f>
        <v>4.05</v>
      </c>
      <c r="J900" s="34"/>
    </row>
    <row r="901" spans="1:10" x14ac:dyDescent="0.25">
      <c r="A901" s="34" t="s">
        <v>164</v>
      </c>
      <c r="B901" s="34" t="s">
        <v>165</v>
      </c>
      <c r="C901" t="s">
        <v>260</v>
      </c>
      <c r="D901" t="s">
        <v>177</v>
      </c>
      <c r="E901" t="s">
        <v>175</v>
      </c>
      <c r="F901" t="s">
        <v>213</v>
      </c>
      <c r="G901" t="s">
        <v>169</v>
      </c>
      <c r="H901">
        <v>542</v>
      </c>
      <c r="I901" s="34">
        <f>+POWER_Regional_Daily_20150101_20190305_c11b3312[[#This Row],[Column8]]/100</f>
        <v>5.42</v>
      </c>
      <c r="J901" s="34"/>
    </row>
    <row r="902" spans="1:10" x14ac:dyDescent="0.25">
      <c r="A902" s="34" t="s">
        <v>164</v>
      </c>
      <c r="B902" s="34" t="s">
        <v>165</v>
      </c>
      <c r="C902" t="s">
        <v>260</v>
      </c>
      <c r="D902" t="s">
        <v>177</v>
      </c>
      <c r="E902" t="s">
        <v>177</v>
      </c>
      <c r="F902" t="s">
        <v>209</v>
      </c>
      <c r="G902" t="s">
        <v>169</v>
      </c>
      <c r="H902">
        <v>501</v>
      </c>
      <c r="I902" s="34">
        <f>+POWER_Regional_Daily_20150101_20190305_c11b3312[[#This Row],[Column8]]/100</f>
        <v>5.01</v>
      </c>
      <c r="J902" s="34"/>
    </row>
    <row r="903" spans="1:10" x14ac:dyDescent="0.25">
      <c r="A903" s="34" t="s">
        <v>164</v>
      </c>
      <c r="B903" s="34" t="s">
        <v>165</v>
      </c>
      <c r="C903" t="s">
        <v>260</v>
      </c>
      <c r="D903" t="s">
        <v>177</v>
      </c>
      <c r="E903" t="s">
        <v>178</v>
      </c>
      <c r="F903" t="s">
        <v>227</v>
      </c>
      <c r="G903" t="s">
        <v>169</v>
      </c>
      <c r="H903">
        <v>326</v>
      </c>
      <c r="I903" s="34">
        <f>+POWER_Regional_Daily_20150101_20190305_c11b3312[[#This Row],[Column8]]/100</f>
        <v>3.26</v>
      </c>
      <c r="J903" s="34"/>
    </row>
    <row r="904" spans="1:10" x14ac:dyDescent="0.25">
      <c r="A904" s="34" t="s">
        <v>164</v>
      </c>
      <c r="B904" s="34" t="s">
        <v>165</v>
      </c>
      <c r="C904" t="s">
        <v>260</v>
      </c>
      <c r="D904" t="s">
        <v>177</v>
      </c>
      <c r="E904" t="s">
        <v>180</v>
      </c>
      <c r="F904" t="s">
        <v>257</v>
      </c>
      <c r="G904" t="s">
        <v>169</v>
      </c>
      <c r="H904">
        <v>192</v>
      </c>
      <c r="I904" s="34">
        <f>+POWER_Regional_Daily_20150101_20190305_c11b3312[[#This Row],[Column8]]/100</f>
        <v>1.92</v>
      </c>
      <c r="J904" s="34"/>
    </row>
    <row r="905" spans="1:10" x14ac:dyDescent="0.25">
      <c r="A905" s="34" t="s">
        <v>164</v>
      </c>
      <c r="B905" s="34" t="s">
        <v>165</v>
      </c>
      <c r="C905" t="s">
        <v>260</v>
      </c>
      <c r="D905" t="s">
        <v>177</v>
      </c>
      <c r="E905" t="s">
        <v>182</v>
      </c>
      <c r="F905" t="s">
        <v>187</v>
      </c>
      <c r="G905" t="s">
        <v>169</v>
      </c>
      <c r="H905">
        <v>-999</v>
      </c>
      <c r="I905" s="34">
        <f>+POWER_Regional_Daily_20150101_20190305_c11b3312[[#This Row],[Column8]]/100</f>
        <v>-9.99</v>
      </c>
      <c r="J905" s="34"/>
    </row>
    <row r="906" spans="1:10" x14ac:dyDescent="0.25">
      <c r="A906" s="34" t="s">
        <v>164</v>
      </c>
      <c r="B906" s="34" t="s">
        <v>165</v>
      </c>
      <c r="C906" t="s">
        <v>260</v>
      </c>
      <c r="D906" t="s">
        <v>177</v>
      </c>
      <c r="E906" t="s">
        <v>184</v>
      </c>
      <c r="F906" t="s">
        <v>218</v>
      </c>
      <c r="G906" t="s">
        <v>169</v>
      </c>
      <c r="H906">
        <v>572</v>
      </c>
      <c r="I906" s="34">
        <f>+POWER_Regional_Daily_20150101_20190305_c11b3312[[#This Row],[Column8]]/100</f>
        <v>5.72</v>
      </c>
      <c r="J906" s="34"/>
    </row>
    <row r="907" spans="1:10" x14ac:dyDescent="0.25">
      <c r="A907" s="34" t="s">
        <v>164</v>
      </c>
      <c r="B907" s="34" t="s">
        <v>165</v>
      </c>
      <c r="C907" t="s">
        <v>260</v>
      </c>
      <c r="D907" t="s">
        <v>177</v>
      </c>
      <c r="E907" t="s">
        <v>186</v>
      </c>
      <c r="F907" t="s">
        <v>235</v>
      </c>
      <c r="G907" t="s">
        <v>169</v>
      </c>
      <c r="H907">
        <v>494</v>
      </c>
      <c r="I907" s="34">
        <f>+POWER_Regional_Daily_20150101_20190305_c11b3312[[#This Row],[Column8]]/100</f>
        <v>4.9400000000000004</v>
      </c>
      <c r="J907" s="34"/>
    </row>
    <row r="908" spans="1:10" x14ac:dyDescent="0.25">
      <c r="A908" s="34" t="s">
        <v>164</v>
      </c>
      <c r="B908" s="34" t="s">
        <v>165</v>
      </c>
      <c r="C908" t="s">
        <v>260</v>
      </c>
      <c r="D908" t="s">
        <v>177</v>
      </c>
      <c r="E908" t="s">
        <v>188</v>
      </c>
      <c r="F908" t="s">
        <v>193</v>
      </c>
      <c r="G908" t="s">
        <v>169</v>
      </c>
      <c r="H908">
        <v>394</v>
      </c>
      <c r="I908" s="34">
        <f>+POWER_Regional_Daily_20150101_20190305_c11b3312[[#This Row],[Column8]]/100</f>
        <v>3.94</v>
      </c>
      <c r="J908" s="34"/>
    </row>
    <row r="909" spans="1:10" x14ac:dyDescent="0.25">
      <c r="A909" s="34" t="s">
        <v>164</v>
      </c>
      <c r="B909" s="34" t="s">
        <v>165</v>
      </c>
      <c r="C909" t="s">
        <v>260</v>
      </c>
      <c r="D909" t="s">
        <v>177</v>
      </c>
      <c r="E909" t="s">
        <v>190</v>
      </c>
      <c r="F909" t="s">
        <v>233</v>
      </c>
      <c r="G909" t="s">
        <v>169</v>
      </c>
      <c r="H909">
        <v>449</v>
      </c>
      <c r="I909" s="34">
        <f>+POWER_Regional_Daily_20150101_20190305_c11b3312[[#This Row],[Column8]]/100</f>
        <v>4.49</v>
      </c>
      <c r="J909" s="34"/>
    </row>
    <row r="910" spans="1:10" x14ac:dyDescent="0.25">
      <c r="A910" s="34" t="s">
        <v>164</v>
      </c>
      <c r="B910" s="34" t="s">
        <v>165</v>
      </c>
      <c r="C910" t="s">
        <v>260</v>
      </c>
      <c r="D910" t="s">
        <v>177</v>
      </c>
      <c r="E910" t="s">
        <v>192</v>
      </c>
      <c r="F910" t="s">
        <v>233</v>
      </c>
      <c r="G910" t="s">
        <v>169</v>
      </c>
      <c r="H910">
        <v>451</v>
      </c>
      <c r="I910" s="34">
        <f>+POWER_Regional_Daily_20150101_20190305_c11b3312[[#This Row],[Column8]]/100</f>
        <v>4.51</v>
      </c>
      <c r="J910" s="34"/>
    </row>
    <row r="911" spans="1:10" x14ac:dyDescent="0.25">
      <c r="A911" s="34" t="s">
        <v>164</v>
      </c>
      <c r="B911" s="34" t="s">
        <v>165</v>
      </c>
      <c r="C911" t="s">
        <v>260</v>
      </c>
      <c r="D911" t="s">
        <v>177</v>
      </c>
      <c r="E911" t="s">
        <v>194</v>
      </c>
      <c r="F911" t="s">
        <v>299</v>
      </c>
      <c r="G911" t="s">
        <v>169</v>
      </c>
      <c r="H911">
        <v>201</v>
      </c>
      <c r="I911" s="34">
        <f>+POWER_Regional_Daily_20150101_20190305_c11b3312[[#This Row],[Column8]]/100</f>
        <v>2.0099999999999998</v>
      </c>
      <c r="J911" s="34"/>
    </row>
    <row r="912" spans="1:10" x14ac:dyDescent="0.25">
      <c r="A912" s="34" t="s">
        <v>164</v>
      </c>
      <c r="B912" s="34" t="s">
        <v>165</v>
      </c>
      <c r="C912" t="s">
        <v>260</v>
      </c>
      <c r="D912" t="s">
        <v>177</v>
      </c>
      <c r="E912" t="s">
        <v>196</v>
      </c>
      <c r="F912" t="s">
        <v>218</v>
      </c>
      <c r="G912" t="s">
        <v>169</v>
      </c>
      <c r="H912">
        <v>573</v>
      </c>
      <c r="I912" s="34">
        <f>+POWER_Regional_Daily_20150101_20190305_c11b3312[[#This Row],[Column8]]/100</f>
        <v>5.73</v>
      </c>
      <c r="J912" s="34"/>
    </row>
    <row r="913" spans="1:10" x14ac:dyDescent="0.25">
      <c r="A913" s="34" t="s">
        <v>164</v>
      </c>
      <c r="B913" s="34" t="s">
        <v>165</v>
      </c>
      <c r="C913" t="s">
        <v>260</v>
      </c>
      <c r="D913" t="s">
        <v>177</v>
      </c>
      <c r="E913" t="s">
        <v>198</v>
      </c>
      <c r="F913" t="s">
        <v>229</v>
      </c>
      <c r="G913" t="s">
        <v>169</v>
      </c>
      <c r="H913">
        <v>346</v>
      </c>
      <c r="I913" s="34">
        <f>+POWER_Regional_Daily_20150101_20190305_c11b3312[[#This Row],[Column8]]/100</f>
        <v>3.46</v>
      </c>
      <c r="J913" s="34"/>
    </row>
    <row r="914" spans="1:10" x14ac:dyDescent="0.25">
      <c r="A914" s="34" t="s">
        <v>164</v>
      </c>
      <c r="B914" s="34" t="s">
        <v>165</v>
      </c>
      <c r="C914" t="s">
        <v>260</v>
      </c>
      <c r="D914" t="s">
        <v>177</v>
      </c>
      <c r="E914" t="s">
        <v>199</v>
      </c>
      <c r="F914" t="s">
        <v>206</v>
      </c>
      <c r="G914" t="s">
        <v>169</v>
      </c>
      <c r="H914">
        <v>386</v>
      </c>
      <c r="I914" s="34">
        <f>+POWER_Regional_Daily_20150101_20190305_c11b3312[[#This Row],[Column8]]/100</f>
        <v>3.86</v>
      </c>
      <c r="J914" s="34"/>
    </row>
    <row r="915" spans="1:10" x14ac:dyDescent="0.25">
      <c r="A915" s="34" t="s">
        <v>164</v>
      </c>
      <c r="B915" s="34" t="s">
        <v>165</v>
      </c>
      <c r="C915" t="s">
        <v>260</v>
      </c>
      <c r="D915" t="s">
        <v>177</v>
      </c>
      <c r="E915" t="s">
        <v>200</v>
      </c>
      <c r="F915" t="s">
        <v>222</v>
      </c>
      <c r="G915" t="s">
        <v>169</v>
      </c>
      <c r="H915">
        <v>534</v>
      </c>
      <c r="I915" s="34">
        <f>+POWER_Regional_Daily_20150101_20190305_c11b3312[[#This Row],[Column8]]/100</f>
        <v>5.34</v>
      </c>
      <c r="J915" s="34"/>
    </row>
    <row r="916" spans="1:10" x14ac:dyDescent="0.25">
      <c r="A916" s="34" t="s">
        <v>164</v>
      </c>
      <c r="B916" s="34" t="s">
        <v>165</v>
      </c>
      <c r="C916" t="s">
        <v>260</v>
      </c>
      <c r="D916" t="s">
        <v>177</v>
      </c>
      <c r="E916" t="s">
        <v>202</v>
      </c>
      <c r="F916" t="s">
        <v>211</v>
      </c>
      <c r="G916" t="s">
        <v>169</v>
      </c>
      <c r="H916">
        <v>409</v>
      </c>
      <c r="I916" s="34">
        <f>+POWER_Regional_Daily_20150101_20190305_c11b3312[[#This Row],[Column8]]/100</f>
        <v>4.09</v>
      </c>
      <c r="J916" s="34"/>
    </row>
    <row r="917" spans="1:10" x14ac:dyDescent="0.25">
      <c r="A917" s="34" t="s">
        <v>164</v>
      </c>
      <c r="B917" s="34" t="s">
        <v>165</v>
      </c>
      <c r="C917" t="s">
        <v>260</v>
      </c>
      <c r="D917" t="s">
        <v>177</v>
      </c>
      <c r="E917" t="s">
        <v>203</v>
      </c>
      <c r="F917" t="s">
        <v>224</v>
      </c>
      <c r="G917" t="s">
        <v>169</v>
      </c>
      <c r="H917">
        <v>441</v>
      </c>
      <c r="I917" s="34">
        <f>+POWER_Regional_Daily_20150101_20190305_c11b3312[[#This Row],[Column8]]/100</f>
        <v>4.41</v>
      </c>
      <c r="J917" s="34"/>
    </row>
    <row r="918" spans="1:10" x14ac:dyDescent="0.25">
      <c r="A918" s="34" t="s">
        <v>164</v>
      </c>
      <c r="B918" s="34" t="s">
        <v>165</v>
      </c>
      <c r="C918" t="s">
        <v>260</v>
      </c>
      <c r="D918" t="s">
        <v>177</v>
      </c>
      <c r="E918" t="s">
        <v>205</v>
      </c>
      <c r="F918" t="s">
        <v>201</v>
      </c>
      <c r="G918" t="s">
        <v>169</v>
      </c>
      <c r="H918">
        <v>520</v>
      </c>
      <c r="I918" s="34">
        <f>+POWER_Regional_Daily_20150101_20190305_c11b3312[[#This Row],[Column8]]/100</f>
        <v>5.2</v>
      </c>
      <c r="J918" s="34"/>
    </row>
    <row r="919" spans="1:10" x14ac:dyDescent="0.25">
      <c r="A919" s="34" t="s">
        <v>164</v>
      </c>
      <c r="B919" s="34" t="s">
        <v>165</v>
      </c>
      <c r="C919" t="s">
        <v>260</v>
      </c>
      <c r="D919" t="s">
        <v>177</v>
      </c>
      <c r="E919" t="s">
        <v>207</v>
      </c>
      <c r="F919" t="s">
        <v>209</v>
      </c>
      <c r="G919" t="s">
        <v>169</v>
      </c>
      <c r="H919">
        <v>501</v>
      </c>
      <c r="I919" s="34">
        <f>+POWER_Regional_Daily_20150101_20190305_c11b3312[[#This Row],[Column8]]/100</f>
        <v>5.01</v>
      </c>
      <c r="J919" s="34"/>
    </row>
    <row r="920" spans="1:10" x14ac:dyDescent="0.25">
      <c r="A920" s="34" t="s">
        <v>164</v>
      </c>
      <c r="B920" s="34" t="s">
        <v>165</v>
      </c>
      <c r="C920" t="s">
        <v>260</v>
      </c>
      <c r="D920" t="s">
        <v>177</v>
      </c>
      <c r="E920" t="s">
        <v>208</v>
      </c>
      <c r="F920" t="s">
        <v>213</v>
      </c>
      <c r="G920" t="s">
        <v>169</v>
      </c>
      <c r="H920">
        <v>543</v>
      </c>
      <c r="I920" s="34">
        <f>+POWER_Regional_Daily_20150101_20190305_c11b3312[[#This Row],[Column8]]/100</f>
        <v>5.43</v>
      </c>
      <c r="J920" s="34"/>
    </row>
    <row r="921" spans="1:10" x14ac:dyDescent="0.25">
      <c r="A921" s="34" t="s">
        <v>164</v>
      </c>
      <c r="B921" s="34" t="s">
        <v>165</v>
      </c>
      <c r="C921" t="s">
        <v>260</v>
      </c>
      <c r="D921" t="s">
        <v>177</v>
      </c>
      <c r="E921" t="s">
        <v>210</v>
      </c>
      <c r="F921" t="s">
        <v>187</v>
      </c>
      <c r="G921" t="s">
        <v>169</v>
      </c>
      <c r="H921">
        <v>-999</v>
      </c>
      <c r="I921" s="34">
        <f>+POWER_Regional_Daily_20150101_20190305_c11b3312[[#This Row],[Column8]]/100</f>
        <v>-9.99</v>
      </c>
      <c r="J921" s="34"/>
    </row>
    <row r="922" spans="1:10" x14ac:dyDescent="0.25">
      <c r="A922" s="34" t="s">
        <v>164</v>
      </c>
      <c r="B922" s="34" t="s">
        <v>165</v>
      </c>
      <c r="C922" t="s">
        <v>260</v>
      </c>
      <c r="D922" t="s">
        <v>177</v>
      </c>
      <c r="E922" t="s">
        <v>212</v>
      </c>
      <c r="F922" t="s">
        <v>197</v>
      </c>
      <c r="G922" t="s">
        <v>169</v>
      </c>
      <c r="H922">
        <v>434</v>
      </c>
      <c r="I922" s="34">
        <f>+POWER_Regional_Daily_20150101_20190305_c11b3312[[#This Row],[Column8]]/100</f>
        <v>4.34</v>
      </c>
      <c r="J922" s="34"/>
    </row>
    <row r="923" spans="1:10" x14ac:dyDescent="0.25">
      <c r="A923" s="34" t="s">
        <v>164</v>
      </c>
      <c r="B923" s="34" t="s">
        <v>165</v>
      </c>
      <c r="C923" t="s">
        <v>260</v>
      </c>
      <c r="D923" t="s">
        <v>177</v>
      </c>
      <c r="E923" t="s">
        <v>214</v>
      </c>
      <c r="F923" t="s">
        <v>222</v>
      </c>
      <c r="G923" t="s">
        <v>169</v>
      </c>
      <c r="H923">
        <v>530</v>
      </c>
      <c r="I923" s="34">
        <f>+POWER_Regional_Daily_20150101_20190305_c11b3312[[#This Row],[Column8]]/100</f>
        <v>5.3</v>
      </c>
      <c r="J923" s="34"/>
    </row>
    <row r="924" spans="1:10" x14ac:dyDescent="0.25">
      <c r="A924" s="34" t="s">
        <v>164</v>
      </c>
      <c r="B924" s="34" t="s">
        <v>165</v>
      </c>
      <c r="C924" t="s">
        <v>260</v>
      </c>
      <c r="D924" t="s">
        <v>177</v>
      </c>
      <c r="E924" t="s">
        <v>215</v>
      </c>
      <c r="F924" t="s">
        <v>235</v>
      </c>
      <c r="G924" t="s">
        <v>169</v>
      </c>
      <c r="H924">
        <v>491</v>
      </c>
      <c r="I924" s="34">
        <f>+POWER_Regional_Daily_20150101_20190305_c11b3312[[#This Row],[Column8]]/100</f>
        <v>4.91</v>
      </c>
      <c r="J924" s="34"/>
    </row>
    <row r="925" spans="1:10" x14ac:dyDescent="0.25">
      <c r="A925" s="34" t="s">
        <v>164</v>
      </c>
      <c r="B925" s="34" t="s">
        <v>165</v>
      </c>
      <c r="C925" t="s">
        <v>260</v>
      </c>
      <c r="D925" t="s">
        <v>177</v>
      </c>
      <c r="E925" t="s">
        <v>217</v>
      </c>
      <c r="F925" t="s">
        <v>204</v>
      </c>
      <c r="G925" t="s">
        <v>169</v>
      </c>
      <c r="H925">
        <v>421</v>
      </c>
      <c r="I925" s="34">
        <f>+POWER_Regional_Daily_20150101_20190305_c11b3312[[#This Row],[Column8]]/100</f>
        <v>4.21</v>
      </c>
      <c r="J925" s="34"/>
    </row>
    <row r="926" spans="1:10" x14ac:dyDescent="0.25">
      <c r="A926" s="34" t="s">
        <v>164</v>
      </c>
      <c r="B926" s="34" t="s">
        <v>165</v>
      </c>
      <c r="C926" t="s">
        <v>260</v>
      </c>
      <c r="D926" t="s">
        <v>177</v>
      </c>
      <c r="E926" t="s">
        <v>219</v>
      </c>
      <c r="F926" t="s">
        <v>213</v>
      </c>
      <c r="G926" t="s">
        <v>169</v>
      </c>
      <c r="H926">
        <v>543</v>
      </c>
      <c r="I926" s="34">
        <f>+POWER_Regional_Daily_20150101_20190305_c11b3312[[#This Row],[Column8]]/100</f>
        <v>5.43</v>
      </c>
      <c r="J926" s="34"/>
    </row>
    <row r="927" spans="1:10" x14ac:dyDescent="0.25">
      <c r="A927" s="34" t="s">
        <v>164</v>
      </c>
      <c r="B927" s="34" t="s">
        <v>165</v>
      </c>
      <c r="C927" t="s">
        <v>260</v>
      </c>
      <c r="D927" t="s">
        <v>178</v>
      </c>
      <c r="E927" t="s">
        <v>167</v>
      </c>
      <c r="F927" t="s">
        <v>238</v>
      </c>
      <c r="G927" t="s">
        <v>169</v>
      </c>
      <c r="H927">
        <v>621</v>
      </c>
      <c r="I927" s="34">
        <f>+POWER_Regional_Daily_20150101_20190305_c11b3312[[#This Row],[Column8]]/100</f>
        <v>6.21</v>
      </c>
      <c r="J927" s="34"/>
    </row>
    <row r="928" spans="1:10" x14ac:dyDescent="0.25">
      <c r="A928" s="34" t="s">
        <v>164</v>
      </c>
      <c r="B928" s="34" t="s">
        <v>165</v>
      </c>
      <c r="C928" t="s">
        <v>260</v>
      </c>
      <c r="D928" t="s">
        <v>178</v>
      </c>
      <c r="E928" t="s">
        <v>170</v>
      </c>
      <c r="F928" t="s">
        <v>213</v>
      </c>
      <c r="G928" t="s">
        <v>169</v>
      </c>
      <c r="H928">
        <v>538</v>
      </c>
      <c r="I928" s="34">
        <f>+POWER_Regional_Daily_20150101_20190305_c11b3312[[#This Row],[Column8]]/100</f>
        <v>5.38</v>
      </c>
      <c r="J928" s="34"/>
    </row>
    <row r="929" spans="1:10" x14ac:dyDescent="0.25">
      <c r="A929" s="34" t="s">
        <v>164</v>
      </c>
      <c r="B929" s="34" t="s">
        <v>165</v>
      </c>
      <c r="C929" t="s">
        <v>260</v>
      </c>
      <c r="D929" t="s">
        <v>178</v>
      </c>
      <c r="E929" t="s">
        <v>172</v>
      </c>
      <c r="F929" t="s">
        <v>233</v>
      </c>
      <c r="G929" t="s">
        <v>169</v>
      </c>
      <c r="H929">
        <v>448</v>
      </c>
      <c r="I929" s="34">
        <f>+POWER_Regional_Daily_20150101_20190305_c11b3312[[#This Row],[Column8]]/100</f>
        <v>4.4800000000000004</v>
      </c>
      <c r="J929" s="34"/>
    </row>
    <row r="930" spans="1:10" x14ac:dyDescent="0.25">
      <c r="A930" s="34" t="s">
        <v>164</v>
      </c>
      <c r="B930" s="34" t="s">
        <v>165</v>
      </c>
      <c r="C930" t="s">
        <v>260</v>
      </c>
      <c r="D930" t="s">
        <v>178</v>
      </c>
      <c r="E930" t="s">
        <v>174</v>
      </c>
      <c r="F930" t="s">
        <v>209</v>
      </c>
      <c r="G930" t="s">
        <v>169</v>
      </c>
      <c r="H930">
        <v>499</v>
      </c>
      <c r="I930" s="34">
        <f>+POWER_Regional_Daily_20150101_20190305_c11b3312[[#This Row],[Column8]]/100</f>
        <v>4.99</v>
      </c>
      <c r="J930" s="34"/>
    </row>
    <row r="931" spans="1:10" x14ac:dyDescent="0.25">
      <c r="A931" s="34" t="s">
        <v>164</v>
      </c>
      <c r="B931" s="34" t="s">
        <v>165</v>
      </c>
      <c r="C931" t="s">
        <v>260</v>
      </c>
      <c r="D931" t="s">
        <v>178</v>
      </c>
      <c r="E931" t="s">
        <v>175</v>
      </c>
      <c r="F931" t="s">
        <v>232</v>
      </c>
      <c r="G931" t="s">
        <v>169</v>
      </c>
      <c r="H931">
        <v>590</v>
      </c>
      <c r="I931" s="34">
        <f>+POWER_Regional_Daily_20150101_20190305_c11b3312[[#This Row],[Column8]]/100</f>
        <v>5.9</v>
      </c>
      <c r="J931" s="34"/>
    </row>
    <row r="932" spans="1:10" x14ac:dyDescent="0.25">
      <c r="A932" s="34" t="s">
        <v>164</v>
      </c>
      <c r="B932" s="34" t="s">
        <v>165</v>
      </c>
      <c r="C932" t="s">
        <v>260</v>
      </c>
      <c r="D932" t="s">
        <v>178</v>
      </c>
      <c r="E932" t="s">
        <v>177</v>
      </c>
      <c r="F932" t="s">
        <v>204</v>
      </c>
      <c r="G932" t="s">
        <v>169</v>
      </c>
      <c r="H932">
        <v>426</v>
      </c>
      <c r="I932" s="34">
        <f>+POWER_Regional_Daily_20150101_20190305_c11b3312[[#This Row],[Column8]]/100</f>
        <v>4.26</v>
      </c>
      <c r="J932" s="34"/>
    </row>
    <row r="933" spans="1:10" x14ac:dyDescent="0.25">
      <c r="A933" s="34" t="s">
        <v>164</v>
      </c>
      <c r="B933" s="34" t="s">
        <v>165</v>
      </c>
      <c r="C933" t="s">
        <v>260</v>
      </c>
      <c r="D933" t="s">
        <v>178</v>
      </c>
      <c r="E933" t="s">
        <v>178</v>
      </c>
      <c r="F933" t="s">
        <v>232</v>
      </c>
      <c r="G933" t="s">
        <v>169</v>
      </c>
      <c r="H933">
        <v>588</v>
      </c>
      <c r="I933" s="34">
        <f>+POWER_Regional_Daily_20150101_20190305_c11b3312[[#This Row],[Column8]]/100</f>
        <v>5.88</v>
      </c>
      <c r="J933" s="34"/>
    </row>
    <row r="934" spans="1:10" x14ac:dyDescent="0.25">
      <c r="A934" s="34" t="s">
        <v>164</v>
      </c>
      <c r="B934" s="34" t="s">
        <v>165</v>
      </c>
      <c r="C934" t="s">
        <v>260</v>
      </c>
      <c r="D934" t="s">
        <v>178</v>
      </c>
      <c r="E934" t="s">
        <v>180</v>
      </c>
      <c r="F934" t="s">
        <v>181</v>
      </c>
      <c r="G934" t="s">
        <v>169</v>
      </c>
      <c r="H934">
        <v>555</v>
      </c>
      <c r="I934" s="34">
        <f>+POWER_Regional_Daily_20150101_20190305_c11b3312[[#This Row],[Column8]]/100</f>
        <v>5.55</v>
      </c>
      <c r="J934" s="34"/>
    </row>
    <row r="935" spans="1:10" x14ac:dyDescent="0.25">
      <c r="A935" s="34" t="s">
        <v>164</v>
      </c>
      <c r="B935" s="34" t="s">
        <v>165</v>
      </c>
      <c r="C935" t="s">
        <v>260</v>
      </c>
      <c r="D935" t="s">
        <v>178</v>
      </c>
      <c r="E935" t="s">
        <v>182</v>
      </c>
      <c r="F935" t="s">
        <v>218</v>
      </c>
      <c r="G935" t="s">
        <v>169</v>
      </c>
      <c r="H935">
        <v>576</v>
      </c>
      <c r="I935" s="34">
        <f>+POWER_Regional_Daily_20150101_20190305_c11b3312[[#This Row],[Column8]]/100</f>
        <v>5.76</v>
      </c>
      <c r="J935" s="34"/>
    </row>
    <row r="936" spans="1:10" x14ac:dyDescent="0.25">
      <c r="A936" s="34" t="s">
        <v>164</v>
      </c>
      <c r="B936" s="34" t="s">
        <v>165</v>
      </c>
      <c r="C936" t="s">
        <v>260</v>
      </c>
      <c r="D936" t="s">
        <v>178</v>
      </c>
      <c r="E936" t="s">
        <v>184</v>
      </c>
      <c r="F936" t="s">
        <v>211</v>
      </c>
      <c r="G936" t="s">
        <v>169</v>
      </c>
      <c r="H936">
        <v>413</v>
      </c>
      <c r="I936" s="34">
        <f>+POWER_Regional_Daily_20150101_20190305_c11b3312[[#This Row],[Column8]]/100</f>
        <v>4.13</v>
      </c>
      <c r="J936" s="34"/>
    </row>
    <row r="937" spans="1:10" x14ac:dyDescent="0.25">
      <c r="A937" s="34" t="s">
        <v>164</v>
      </c>
      <c r="B937" s="34" t="s">
        <v>165</v>
      </c>
      <c r="C937" t="s">
        <v>260</v>
      </c>
      <c r="D937" t="s">
        <v>178</v>
      </c>
      <c r="E937" t="s">
        <v>186</v>
      </c>
      <c r="F937" t="s">
        <v>187</v>
      </c>
      <c r="G937" t="s">
        <v>169</v>
      </c>
      <c r="H937">
        <v>-999</v>
      </c>
      <c r="I937" s="34">
        <f>+POWER_Regional_Daily_20150101_20190305_c11b3312[[#This Row],[Column8]]/100</f>
        <v>-9.99</v>
      </c>
      <c r="J937" s="34"/>
    </row>
    <row r="938" spans="1:10" x14ac:dyDescent="0.25">
      <c r="A938" s="34" t="s">
        <v>164</v>
      </c>
      <c r="B938" s="34" t="s">
        <v>165</v>
      </c>
      <c r="C938" t="s">
        <v>260</v>
      </c>
      <c r="D938" t="s">
        <v>178</v>
      </c>
      <c r="E938" t="s">
        <v>188</v>
      </c>
      <c r="F938" t="s">
        <v>223</v>
      </c>
      <c r="G938" t="s">
        <v>169</v>
      </c>
      <c r="H938">
        <v>487</v>
      </c>
      <c r="I938" s="34">
        <f>+POWER_Regional_Daily_20150101_20190305_c11b3312[[#This Row],[Column8]]/100</f>
        <v>4.87</v>
      </c>
      <c r="J938" s="34"/>
    </row>
    <row r="939" spans="1:10" x14ac:dyDescent="0.25">
      <c r="A939" s="34" t="s">
        <v>164</v>
      </c>
      <c r="B939" s="34" t="s">
        <v>165</v>
      </c>
      <c r="C939" t="s">
        <v>260</v>
      </c>
      <c r="D939" t="s">
        <v>178</v>
      </c>
      <c r="E939" t="s">
        <v>190</v>
      </c>
      <c r="F939" t="s">
        <v>181</v>
      </c>
      <c r="G939" t="s">
        <v>169</v>
      </c>
      <c r="H939">
        <v>552</v>
      </c>
      <c r="I939" s="34">
        <f>+POWER_Regional_Daily_20150101_20190305_c11b3312[[#This Row],[Column8]]/100</f>
        <v>5.52</v>
      </c>
      <c r="J939" s="34"/>
    </row>
    <row r="940" spans="1:10" x14ac:dyDescent="0.25">
      <c r="A940" s="34" t="s">
        <v>164</v>
      </c>
      <c r="B940" s="34" t="s">
        <v>165</v>
      </c>
      <c r="C940" t="s">
        <v>260</v>
      </c>
      <c r="D940" t="s">
        <v>178</v>
      </c>
      <c r="E940" t="s">
        <v>192</v>
      </c>
      <c r="F940" t="s">
        <v>209</v>
      </c>
      <c r="G940" t="s">
        <v>169</v>
      </c>
      <c r="H940">
        <v>506</v>
      </c>
      <c r="I940" s="34">
        <f>+POWER_Regional_Daily_20150101_20190305_c11b3312[[#This Row],[Column8]]/100</f>
        <v>5.0599999999999996</v>
      </c>
      <c r="J940" s="34"/>
    </row>
    <row r="941" spans="1:10" x14ac:dyDescent="0.25">
      <c r="A941" s="34" t="s">
        <v>164</v>
      </c>
      <c r="B941" s="34" t="s">
        <v>165</v>
      </c>
      <c r="C941" t="s">
        <v>260</v>
      </c>
      <c r="D941" t="s">
        <v>178</v>
      </c>
      <c r="E941" t="s">
        <v>194</v>
      </c>
      <c r="F941" t="s">
        <v>197</v>
      </c>
      <c r="G941" t="s">
        <v>169</v>
      </c>
      <c r="H941">
        <v>434</v>
      </c>
      <c r="I941" s="34">
        <f>+POWER_Regional_Daily_20150101_20190305_c11b3312[[#This Row],[Column8]]/100</f>
        <v>4.34</v>
      </c>
      <c r="J941" s="34"/>
    </row>
    <row r="942" spans="1:10" x14ac:dyDescent="0.25">
      <c r="A942" s="34" t="s">
        <v>164</v>
      </c>
      <c r="B942" s="34" t="s">
        <v>165</v>
      </c>
      <c r="C942" t="s">
        <v>260</v>
      </c>
      <c r="D942" t="s">
        <v>178</v>
      </c>
      <c r="E942" t="s">
        <v>196</v>
      </c>
      <c r="F942" t="s">
        <v>222</v>
      </c>
      <c r="G942" t="s">
        <v>169</v>
      </c>
      <c r="H942">
        <v>534</v>
      </c>
      <c r="I942" s="34">
        <f>+POWER_Regional_Daily_20150101_20190305_c11b3312[[#This Row],[Column8]]/100</f>
        <v>5.34</v>
      </c>
      <c r="J942" s="34"/>
    </row>
    <row r="943" spans="1:10" x14ac:dyDescent="0.25">
      <c r="A943" s="34" t="s">
        <v>164</v>
      </c>
      <c r="B943" s="34" t="s">
        <v>165</v>
      </c>
      <c r="C943" t="s">
        <v>260</v>
      </c>
      <c r="D943" t="s">
        <v>178</v>
      </c>
      <c r="E943" t="s">
        <v>198</v>
      </c>
      <c r="F943" t="s">
        <v>211</v>
      </c>
      <c r="G943" t="s">
        <v>169</v>
      </c>
      <c r="H943">
        <v>413</v>
      </c>
      <c r="I943" s="34">
        <f>+POWER_Regional_Daily_20150101_20190305_c11b3312[[#This Row],[Column8]]/100</f>
        <v>4.13</v>
      </c>
      <c r="J943" s="34"/>
    </row>
    <row r="944" spans="1:10" x14ac:dyDescent="0.25">
      <c r="A944" s="34" t="s">
        <v>164</v>
      </c>
      <c r="B944" s="34" t="s">
        <v>165</v>
      </c>
      <c r="C944" t="s">
        <v>260</v>
      </c>
      <c r="D944" t="s">
        <v>178</v>
      </c>
      <c r="E944" t="s">
        <v>199</v>
      </c>
      <c r="F944" t="s">
        <v>189</v>
      </c>
      <c r="G944" t="s">
        <v>169</v>
      </c>
      <c r="H944">
        <v>583</v>
      </c>
      <c r="I944" s="34">
        <f>+POWER_Regional_Daily_20150101_20190305_c11b3312[[#This Row],[Column8]]/100</f>
        <v>5.83</v>
      </c>
      <c r="J944" s="34"/>
    </row>
    <row r="945" spans="1:10" x14ac:dyDescent="0.25">
      <c r="A945" s="34" t="s">
        <v>164</v>
      </c>
      <c r="B945" s="34" t="s">
        <v>165</v>
      </c>
      <c r="C945" t="s">
        <v>260</v>
      </c>
      <c r="D945" t="s">
        <v>178</v>
      </c>
      <c r="E945" t="s">
        <v>200</v>
      </c>
      <c r="F945" t="s">
        <v>201</v>
      </c>
      <c r="G945" t="s">
        <v>169</v>
      </c>
      <c r="H945">
        <v>524</v>
      </c>
      <c r="I945" s="34">
        <f>+POWER_Regional_Daily_20150101_20190305_c11b3312[[#This Row],[Column8]]/100</f>
        <v>5.24</v>
      </c>
      <c r="J945" s="34"/>
    </row>
    <row r="946" spans="1:10" x14ac:dyDescent="0.25">
      <c r="A946" s="34" t="s">
        <v>164</v>
      </c>
      <c r="B946" s="34" t="s">
        <v>165</v>
      </c>
      <c r="C946" t="s">
        <v>260</v>
      </c>
      <c r="D946" t="s">
        <v>178</v>
      </c>
      <c r="E946" t="s">
        <v>202</v>
      </c>
      <c r="F946" t="s">
        <v>221</v>
      </c>
      <c r="G946" t="s">
        <v>169</v>
      </c>
      <c r="H946">
        <v>410</v>
      </c>
      <c r="I946" s="34">
        <f>+POWER_Regional_Daily_20150101_20190305_c11b3312[[#This Row],[Column8]]/100</f>
        <v>4.0999999999999996</v>
      </c>
      <c r="J946" s="34"/>
    </row>
    <row r="947" spans="1:10" x14ac:dyDescent="0.25">
      <c r="A947" s="34" t="s">
        <v>164</v>
      </c>
      <c r="B947" s="34" t="s">
        <v>165</v>
      </c>
      <c r="C947" t="s">
        <v>260</v>
      </c>
      <c r="D947" t="s">
        <v>178</v>
      </c>
      <c r="E947" t="s">
        <v>203</v>
      </c>
      <c r="F947" t="s">
        <v>232</v>
      </c>
      <c r="G947" t="s">
        <v>169</v>
      </c>
      <c r="H947">
        <v>600</v>
      </c>
      <c r="I947" s="34">
        <f>+POWER_Regional_Daily_20150101_20190305_c11b3312[[#This Row],[Column8]]/100</f>
        <v>6</v>
      </c>
      <c r="J947" s="34"/>
    </row>
    <row r="948" spans="1:10" x14ac:dyDescent="0.25">
      <c r="A948" s="34" t="s">
        <v>164</v>
      </c>
      <c r="B948" s="34" t="s">
        <v>165</v>
      </c>
      <c r="C948" t="s">
        <v>260</v>
      </c>
      <c r="D948" t="s">
        <v>178</v>
      </c>
      <c r="E948" t="s">
        <v>205</v>
      </c>
      <c r="F948" t="s">
        <v>235</v>
      </c>
      <c r="G948" t="s">
        <v>169</v>
      </c>
      <c r="H948">
        <v>500</v>
      </c>
      <c r="I948" s="34">
        <f>+POWER_Regional_Daily_20150101_20190305_c11b3312[[#This Row],[Column8]]/100</f>
        <v>5</v>
      </c>
      <c r="J948" s="34"/>
    </row>
    <row r="949" spans="1:10" x14ac:dyDescent="0.25">
      <c r="A949" s="34" t="s">
        <v>164</v>
      </c>
      <c r="B949" s="34" t="s">
        <v>165</v>
      </c>
      <c r="C949" t="s">
        <v>260</v>
      </c>
      <c r="D949" t="s">
        <v>178</v>
      </c>
      <c r="E949" t="s">
        <v>207</v>
      </c>
      <c r="F949" t="s">
        <v>209</v>
      </c>
      <c r="G949" t="s">
        <v>169</v>
      </c>
      <c r="H949">
        <v>506</v>
      </c>
      <c r="I949" s="34">
        <f>+POWER_Regional_Daily_20150101_20190305_c11b3312[[#This Row],[Column8]]/100</f>
        <v>5.0599999999999996</v>
      </c>
      <c r="J949" s="34"/>
    </row>
    <row r="950" spans="1:10" x14ac:dyDescent="0.25">
      <c r="A950" s="34" t="s">
        <v>164</v>
      </c>
      <c r="B950" s="34" t="s">
        <v>165</v>
      </c>
      <c r="C950" t="s">
        <v>260</v>
      </c>
      <c r="D950" t="s">
        <v>178</v>
      </c>
      <c r="E950" t="s">
        <v>208</v>
      </c>
      <c r="F950" t="s">
        <v>189</v>
      </c>
      <c r="G950" t="s">
        <v>169</v>
      </c>
      <c r="H950">
        <v>587</v>
      </c>
      <c r="I950" s="34">
        <f>+POWER_Regional_Daily_20150101_20190305_c11b3312[[#This Row],[Column8]]/100</f>
        <v>5.87</v>
      </c>
      <c r="J950" s="34"/>
    </row>
    <row r="951" spans="1:10" x14ac:dyDescent="0.25">
      <c r="A951" s="34" t="s">
        <v>164</v>
      </c>
      <c r="B951" s="34" t="s">
        <v>165</v>
      </c>
      <c r="C951" t="s">
        <v>260</v>
      </c>
      <c r="D951" t="s">
        <v>178</v>
      </c>
      <c r="E951" t="s">
        <v>210</v>
      </c>
      <c r="F951" t="s">
        <v>234</v>
      </c>
      <c r="G951" t="s">
        <v>169</v>
      </c>
      <c r="H951">
        <v>647</v>
      </c>
      <c r="I951" s="34">
        <f>+POWER_Regional_Daily_20150101_20190305_c11b3312[[#This Row],[Column8]]/100</f>
        <v>6.47</v>
      </c>
      <c r="J951" s="34"/>
    </row>
    <row r="952" spans="1:10" x14ac:dyDescent="0.25">
      <c r="A952" s="34" t="s">
        <v>164</v>
      </c>
      <c r="B952" s="34" t="s">
        <v>165</v>
      </c>
      <c r="C952" t="s">
        <v>260</v>
      </c>
      <c r="D952" t="s">
        <v>178</v>
      </c>
      <c r="E952" t="s">
        <v>212</v>
      </c>
      <c r="F952" t="s">
        <v>222</v>
      </c>
      <c r="G952" t="s">
        <v>169</v>
      </c>
      <c r="H952">
        <v>539</v>
      </c>
      <c r="I952" s="34">
        <f>+POWER_Regional_Daily_20150101_20190305_c11b3312[[#This Row],[Column8]]/100</f>
        <v>5.39</v>
      </c>
      <c r="J952" s="34"/>
    </row>
    <row r="953" spans="1:10" x14ac:dyDescent="0.25">
      <c r="A953" s="34" t="s">
        <v>164</v>
      </c>
      <c r="B953" s="34" t="s">
        <v>165</v>
      </c>
      <c r="C953" t="s">
        <v>260</v>
      </c>
      <c r="D953" t="s">
        <v>178</v>
      </c>
      <c r="E953" t="s">
        <v>214</v>
      </c>
      <c r="F953" t="s">
        <v>187</v>
      </c>
      <c r="G953" t="s">
        <v>169</v>
      </c>
      <c r="H953">
        <v>-999</v>
      </c>
      <c r="I953" s="34">
        <f>+POWER_Regional_Daily_20150101_20190305_c11b3312[[#This Row],[Column8]]/100</f>
        <v>-9.99</v>
      </c>
      <c r="J953" s="34"/>
    </row>
    <row r="954" spans="1:10" x14ac:dyDescent="0.25">
      <c r="A954" s="34" t="s">
        <v>164</v>
      </c>
      <c r="B954" s="34" t="s">
        <v>165</v>
      </c>
      <c r="C954" t="s">
        <v>260</v>
      </c>
      <c r="D954" t="s">
        <v>178</v>
      </c>
      <c r="E954" t="s">
        <v>215</v>
      </c>
      <c r="F954" t="s">
        <v>236</v>
      </c>
      <c r="G954" t="s">
        <v>169</v>
      </c>
      <c r="H954">
        <v>519</v>
      </c>
      <c r="I954" s="34">
        <f>+POWER_Regional_Daily_20150101_20190305_c11b3312[[#This Row],[Column8]]/100</f>
        <v>5.19</v>
      </c>
      <c r="J954" s="34"/>
    </row>
    <row r="955" spans="1:10" x14ac:dyDescent="0.25">
      <c r="A955" s="34" t="s">
        <v>164</v>
      </c>
      <c r="B955" s="34" t="s">
        <v>165</v>
      </c>
      <c r="C955" t="s">
        <v>260</v>
      </c>
      <c r="D955" t="s">
        <v>178</v>
      </c>
      <c r="E955" t="s">
        <v>217</v>
      </c>
      <c r="F955" t="s">
        <v>236</v>
      </c>
      <c r="G955" t="s">
        <v>169</v>
      </c>
      <c r="H955">
        <v>519</v>
      </c>
      <c r="I955" s="34">
        <f>+POWER_Regional_Daily_20150101_20190305_c11b3312[[#This Row],[Column8]]/100</f>
        <v>5.19</v>
      </c>
      <c r="J955" s="34"/>
    </row>
    <row r="956" spans="1:10" x14ac:dyDescent="0.25">
      <c r="A956" s="34" t="s">
        <v>164</v>
      </c>
      <c r="B956" s="34" t="s">
        <v>165</v>
      </c>
      <c r="C956" t="s">
        <v>260</v>
      </c>
      <c r="D956" t="s">
        <v>178</v>
      </c>
      <c r="E956" t="s">
        <v>219</v>
      </c>
      <c r="F956" t="s">
        <v>233</v>
      </c>
      <c r="G956" t="s">
        <v>169</v>
      </c>
      <c r="H956">
        <v>466</v>
      </c>
      <c r="I956" s="34">
        <f>+POWER_Regional_Daily_20150101_20190305_c11b3312[[#This Row],[Column8]]/100</f>
        <v>4.66</v>
      </c>
      <c r="J956" s="34"/>
    </row>
    <row r="957" spans="1:10" x14ac:dyDescent="0.25">
      <c r="A957" s="34" t="s">
        <v>164</v>
      </c>
      <c r="B957" s="34" t="s">
        <v>165</v>
      </c>
      <c r="C957" t="s">
        <v>260</v>
      </c>
      <c r="D957" t="s">
        <v>178</v>
      </c>
      <c r="E957" t="s">
        <v>220</v>
      </c>
      <c r="F957" t="s">
        <v>221</v>
      </c>
      <c r="G957" t="s">
        <v>169</v>
      </c>
      <c r="H957">
        <v>417</v>
      </c>
      <c r="I957" s="34">
        <f>+POWER_Regional_Daily_20150101_20190305_c11b3312[[#This Row],[Column8]]/100</f>
        <v>4.17</v>
      </c>
      <c r="J957" s="34"/>
    </row>
    <row r="958" spans="1:10" x14ac:dyDescent="0.25">
      <c r="A958" s="34" t="s">
        <v>164</v>
      </c>
      <c r="B958" s="34" t="s">
        <v>165</v>
      </c>
      <c r="C958" t="s">
        <v>260</v>
      </c>
      <c r="D958" t="s">
        <v>180</v>
      </c>
      <c r="E958" t="s">
        <v>167</v>
      </c>
      <c r="F958" t="s">
        <v>213</v>
      </c>
      <c r="G958" t="s">
        <v>169</v>
      </c>
      <c r="H958">
        <v>551</v>
      </c>
      <c r="I958" s="34">
        <f>+POWER_Regional_Daily_20150101_20190305_c11b3312[[#This Row],[Column8]]/100</f>
        <v>5.51</v>
      </c>
      <c r="J958" s="34"/>
    </row>
    <row r="959" spans="1:10" x14ac:dyDescent="0.25">
      <c r="A959" s="34" t="s">
        <v>164</v>
      </c>
      <c r="B959" s="34" t="s">
        <v>165</v>
      </c>
      <c r="C959" t="s">
        <v>260</v>
      </c>
      <c r="D959" t="s">
        <v>180</v>
      </c>
      <c r="E959" t="s">
        <v>170</v>
      </c>
      <c r="F959" t="s">
        <v>213</v>
      </c>
      <c r="G959" t="s">
        <v>169</v>
      </c>
      <c r="H959">
        <v>558</v>
      </c>
      <c r="I959" s="34">
        <f>+POWER_Regional_Daily_20150101_20190305_c11b3312[[#This Row],[Column8]]/100</f>
        <v>5.58</v>
      </c>
      <c r="J959" s="34"/>
    </row>
    <row r="960" spans="1:10" x14ac:dyDescent="0.25">
      <c r="A960" s="34" t="s">
        <v>164</v>
      </c>
      <c r="B960" s="34" t="s">
        <v>165</v>
      </c>
      <c r="C960" t="s">
        <v>260</v>
      </c>
      <c r="D960" t="s">
        <v>180</v>
      </c>
      <c r="E960" t="s">
        <v>172</v>
      </c>
      <c r="F960" t="s">
        <v>189</v>
      </c>
      <c r="G960" t="s">
        <v>169</v>
      </c>
      <c r="H960">
        <v>598</v>
      </c>
      <c r="I960" s="34">
        <f>+POWER_Regional_Daily_20150101_20190305_c11b3312[[#This Row],[Column8]]/100</f>
        <v>5.98</v>
      </c>
      <c r="J960" s="34"/>
    </row>
    <row r="961" spans="1:10" x14ac:dyDescent="0.25">
      <c r="A961" s="34" t="s">
        <v>164</v>
      </c>
      <c r="B961" s="34" t="s">
        <v>165</v>
      </c>
      <c r="C961" t="s">
        <v>260</v>
      </c>
      <c r="D961" t="s">
        <v>180</v>
      </c>
      <c r="E961" t="s">
        <v>174</v>
      </c>
      <c r="F961" t="s">
        <v>206</v>
      </c>
      <c r="G961" t="s">
        <v>169</v>
      </c>
      <c r="H961">
        <v>397</v>
      </c>
      <c r="I961" s="34">
        <f>+POWER_Regional_Daily_20150101_20190305_c11b3312[[#This Row],[Column8]]/100</f>
        <v>3.97</v>
      </c>
      <c r="J961" s="34"/>
    </row>
    <row r="962" spans="1:10" x14ac:dyDescent="0.25">
      <c r="A962" s="34" t="s">
        <v>164</v>
      </c>
      <c r="B962" s="34" t="s">
        <v>165</v>
      </c>
      <c r="C962" t="s">
        <v>260</v>
      </c>
      <c r="D962" t="s">
        <v>180</v>
      </c>
      <c r="E962" t="s">
        <v>175</v>
      </c>
      <c r="F962" t="s">
        <v>233</v>
      </c>
      <c r="G962" t="s">
        <v>169</v>
      </c>
      <c r="H962">
        <v>469</v>
      </c>
      <c r="I962" s="34">
        <f>+POWER_Regional_Daily_20150101_20190305_c11b3312[[#This Row],[Column8]]/100</f>
        <v>4.6900000000000004</v>
      </c>
      <c r="J962" s="34"/>
    </row>
    <row r="963" spans="1:10" x14ac:dyDescent="0.25">
      <c r="A963" s="34" t="s">
        <v>164</v>
      </c>
      <c r="B963" s="34" t="s">
        <v>165</v>
      </c>
      <c r="C963" t="s">
        <v>260</v>
      </c>
      <c r="D963" t="s">
        <v>180</v>
      </c>
      <c r="E963" t="s">
        <v>177</v>
      </c>
      <c r="F963" t="s">
        <v>168</v>
      </c>
      <c r="G963" t="s">
        <v>169</v>
      </c>
      <c r="H963">
        <v>631</v>
      </c>
      <c r="I963" s="34">
        <f>+POWER_Regional_Daily_20150101_20190305_c11b3312[[#This Row],[Column8]]/100</f>
        <v>6.31</v>
      </c>
      <c r="J963" s="34"/>
    </row>
    <row r="964" spans="1:10" x14ac:dyDescent="0.25">
      <c r="A964" s="34" t="s">
        <v>164</v>
      </c>
      <c r="B964" s="34" t="s">
        <v>165</v>
      </c>
      <c r="C964" t="s">
        <v>260</v>
      </c>
      <c r="D964" t="s">
        <v>180</v>
      </c>
      <c r="E964" t="s">
        <v>178</v>
      </c>
      <c r="F964" t="s">
        <v>181</v>
      </c>
      <c r="G964" t="s">
        <v>169</v>
      </c>
      <c r="H964">
        <v>565</v>
      </c>
      <c r="I964" s="34">
        <f>+POWER_Regional_Daily_20150101_20190305_c11b3312[[#This Row],[Column8]]/100</f>
        <v>5.65</v>
      </c>
      <c r="J964" s="34"/>
    </row>
    <row r="965" spans="1:10" x14ac:dyDescent="0.25">
      <c r="A965" s="34" t="s">
        <v>164</v>
      </c>
      <c r="B965" s="34" t="s">
        <v>165</v>
      </c>
      <c r="C965" t="s">
        <v>260</v>
      </c>
      <c r="D965" t="s">
        <v>180</v>
      </c>
      <c r="E965" t="s">
        <v>180</v>
      </c>
      <c r="F965" t="s">
        <v>222</v>
      </c>
      <c r="G965" t="s">
        <v>169</v>
      </c>
      <c r="H965">
        <v>546</v>
      </c>
      <c r="I965" s="34">
        <f>+POWER_Regional_Daily_20150101_20190305_c11b3312[[#This Row],[Column8]]/100</f>
        <v>5.46</v>
      </c>
      <c r="J965" s="34"/>
    </row>
    <row r="966" spans="1:10" x14ac:dyDescent="0.25">
      <c r="A966" s="34" t="s">
        <v>164</v>
      </c>
      <c r="B966" s="34" t="s">
        <v>165</v>
      </c>
      <c r="C966" t="s">
        <v>260</v>
      </c>
      <c r="D966" t="s">
        <v>180</v>
      </c>
      <c r="E966" t="s">
        <v>182</v>
      </c>
      <c r="F966" t="s">
        <v>231</v>
      </c>
      <c r="G966" t="s">
        <v>169</v>
      </c>
      <c r="H966">
        <v>487</v>
      </c>
      <c r="I966" s="34">
        <f>+POWER_Regional_Daily_20150101_20190305_c11b3312[[#This Row],[Column8]]/100</f>
        <v>4.87</v>
      </c>
      <c r="J966" s="34"/>
    </row>
    <row r="967" spans="1:10" x14ac:dyDescent="0.25">
      <c r="A967" s="34" t="s">
        <v>164</v>
      </c>
      <c r="B967" s="34" t="s">
        <v>165</v>
      </c>
      <c r="C967" t="s">
        <v>260</v>
      </c>
      <c r="D967" t="s">
        <v>180</v>
      </c>
      <c r="E967" t="s">
        <v>184</v>
      </c>
      <c r="F967" t="s">
        <v>183</v>
      </c>
      <c r="G967" t="s">
        <v>169</v>
      </c>
      <c r="H967">
        <v>577</v>
      </c>
      <c r="I967" s="34">
        <f>+POWER_Regional_Daily_20150101_20190305_c11b3312[[#This Row],[Column8]]/100</f>
        <v>5.77</v>
      </c>
      <c r="J967" s="34"/>
    </row>
    <row r="968" spans="1:10" x14ac:dyDescent="0.25">
      <c r="A968" s="34" t="s">
        <v>164</v>
      </c>
      <c r="B968" s="34" t="s">
        <v>165</v>
      </c>
      <c r="C968" t="s">
        <v>260</v>
      </c>
      <c r="D968" t="s">
        <v>180</v>
      </c>
      <c r="E968" t="s">
        <v>186</v>
      </c>
      <c r="F968" t="s">
        <v>195</v>
      </c>
      <c r="G968" t="s">
        <v>169</v>
      </c>
      <c r="H968">
        <v>477</v>
      </c>
      <c r="I968" s="34">
        <f>+POWER_Regional_Daily_20150101_20190305_c11b3312[[#This Row],[Column8]]/100</f>
        <v>4.7699999999999996</v>
      </c>
      <c r="J968" s="34"/>
    </row>
    <row r="969" spans="1:10" x14ac:dyDescent="0.25">
      <c r="A969" s="34" t="s">
        <v>164</v>
      </c>
      <c r="B969" s="34" t="s">
        <v>165</v>
      </c>
      <c r="C969" t="s">
        <v>260</v>
      </c>
      <c r="D969" t="s">
        <v>180</v>
      </c>
      <c r="E969" t="s">
        <v>188</v>
      </c>
      <c r="F969" t="s">
        <v>187</v>
      </c>
      <c r="G969" t="s">
        <v>169</v>
      </c>
      <c r="H969">
        <v>-999</v>
      </c>
      <c r="I969" s="34">
        <f>+POWER_Regional_Daily_20150101_20190305_c11b3312[[#This Row],[Column8]]/100</f>
        <v>-9.99</v>
      </c>
      <c r="J969" s="34"/>
    </row>
    <row r="970" spans="1:10" x14ac:dyDescent="0.25">
      <c r="A970" s="34" t="s">
        <v>164</v>
      </c>
      <c r="B970" s="34" t="s">
        <v>165</v>
      </c>
      <c r="C970" t="s">
        <v>260</v>
      </c>
      <c r="D970" t="s">
        <v>180</v>
      </c>
      <c r="E970" t="s">
        <v>190</v>
      </c>
      <c r="F970" t="s">
        <v>218</v>
      </c>
      <c r="G970" t="s">
        <v>169</v>
      </c>
      <c r="H970">
        <v>593</v>
      </c>
      <c r="I970" s="34">
        <f>+POWER_Regional_Daily_20150101_20190305_c11b3312[[#This Row],[Column8]]/100</f>
        <v>5.93</v>
      </c>
      <c r="J970" s="34"/>
    </row>
    <row r="971" spans="1:10" x14ac:dyDescent="0.25">
      <c r="A971" s="34" t="s">
        <v>164</v>
      </c>
      <c r="B971" s="34" t="s">
        <v>165</v>
      </c>
      <c r="C971" t="s">
        <v>260</v>
      </c>
      <c r="D971" t="s">
        <v>180</v>
      </c>
      <c r="E971" t="s">
        <v>192</v>
      </c>
      <c r="F971" t="s">
        <v>248</v>
      </c>
      <c r="G971" t="s">
        <v>169</v>
      </c>
      <c r="H971">
        <v>682</v>
      </c>
      <c r="I971" s="34">
        <f>+POWER_Regional_Daily_20150101_20190305_c11b3312[[#This Row],[Column8]]/100</f>
        <v>6.82</v>
      </c>
      <c r="J971" s="34"/>
    </row>
    <row r="972" spans="1:10" x14ac:dyDescent="0.25">
      <c r="A972" s="34" t="s">
        <v>164</v>
      </c>
      <c r="B972" s="34" t="s">
        <v>165</v>
      </c>
      <c r="C972" t="s">
        <v>260</v>
      </c>
      <c r="D972" t="s">
        <v>180</v>
      </c>
      <c r="E972" t="s">
        <v>194</v>
      </c>
      <c r="F972" t="s">
        <v>222</v>
      </c>
      <c r="G972" t="s">
        <v>169</v>
      </c>
      <c r="H972">
        <v>547</v>
      </c>
      <c r="I972" s="34">
        <f>+POWER_Regional_Daily_20150101_20190305_c11b3312[[#This Row],[Column8]]/100</f>
        <v>5.47</v>
      </c>
      <c r="J972" s="34"/>
    </row>
    <row r="973" spans="1:10" x14ac:dyDescent="0.25">
      <c r="A973" s="34" t="s">
        <v>164</v>
      </c>
      <c r="B973" s="34" t="s">
        <v>165</v>
      </c>
      <c r="C973" t="s">
        <v>260</v>
      </c>
      <c r="D973" t="s">
        <v>180</v>
      </c>
      <c r="E973" t="s">
        <v>196</v>
      </c>
      <c r="F973" t="s">
        <v>195</v>
      </c>
      <c r="G973" t="s">
        <v>169</v>
      </c>
      <c r="H973">
        <v>477</v>
      </c>
      <c r="I973" s="34">
        <f>+POWER_Regional_Daily_20150101_20190305_c11b3312[[#This Row],[Column8]]/100</f>
        <v>4.7699999999999996</v>
      </c>
      <c r="J973" s="34"/>
    </row>
    <row r="974" spans="1:10" x14ac:dyDescent="0.25">
      <c r="A974" s="34" t="s">
        <v>164</v>
      </c>
      <c r="B974" s="34" t="s">
        <v>165</v>
      </c>
      <c r="C974" t="s">
        <v>260</v>
      </c>
      <c r="D974" t="s">
        <v>180</v>
      </c>
      <c r="E974" t="s">
        <v>198</v>
      </c>
      <c r="F974" t="s">
        <v>168</v>
      </c>
      <c r="G974" t="s">
        <v>169</v>
      </c>
      <c r="H974">
        <v>636</v>
      </c>
      <c r="I974" s="34">
        <f>+POWER_Regional_Daily_20150101_20190305_c11b3312[[#This Row],[Column8]]/100</f>
        <v>6.36</v>
      </c>
      <c r="J974" s="34"/>
    </row>
    <row r="975" spans="1:10" x14ac:dyDescent="0.25">
      <c r="A975" s="34" t="s">
        <v>164</v>
      </c>
      <c r="B975" s="34" t="s">
        <v>165</v>
      </c>
      <c r="C975" t="s">
        <v>260</v>
      </c>
      <c r="D975" t="s">
        <v>180</v>
      </c>
      <c r="E975" t="s">
        <v>199</v>
      </c>
      <c r="F975" t="s">
        <v>213</v>
      </c>
      <c r="G975" t="s">
        <v>169</v>
      </c>
      <c r="H975">
        <v>563</v>
      </c>
      <c r="I975" s="34">
        <f>+POWER_Regional_Daily_20150101_20190305_c11b3312[[#This Row],[Column8]]/100</f>
        <v>5.63</v>
      </c>
      <c r="J975" s="34"/>
    </row>
    <row r="976" spans="1:10" x14ac:dyDescent="0.25">
      <c r="A976" s="34" t="s">
        <v>164</v>
      </c>
      <c r="B976" s="34" t="s">
        <v>165</v>
      </c>
      <c r="C976" t="s">
        <v>260</v>
      </c>
      <c r="D976" t="s">
        <v>180</v>
      </c>
      <c r="E976" t="s">
        <v>200</v>
      </c>
      <c r="F976" t="s">
        <v>230</v>
      </c>
      <c r="G976" t="s">
        <v>169</v>
      </c>
      <c r="H976">
        <v>377</v>
      </c>
      <c r="I976" s="34">
        <f>+POWER_Regional_Daily_20150101_20190305_c11b3312[[#This Row],[Column8]]/100</f>
        <v>3.77</v>
      </c>
      <c r="J976" s="34"/>
    </row>
    <row r="977" spans="1:10" x14ac:dyDescent="0.25">
      <c r="A977" s="34" t="s">
        <v>164</v>
      </c>
      <c r="B977" s="34" t="s">
        <v>165</v>
      </c>
      <c r="C977" t="s">
        <v>260</v>
      </c>
      <c r="D977" t="s">
        <v>180</v>
      </c>
      <c r="E977" t="s">
        <v>202</v>
      </c>
      <c r="F977" t="s">
        <v>193</v>
      </c>
      <c r="G977" t="s">
        <v>169</v>
      </c>
      <c r="H977">
        <v>407</v>
      </c>
      <c r="I977" s="34">
        <f>+POWER_Regional_Daily_20150101_20190305_c11b3312[[#This Row],[Column8]]/100</f>
        <v>4.07</v>
      </c>
      <c r="J977" s="34"/>
    </row>
    <row r="978" spans="1:10" x14ac:dyDescent="0.25">
      <c r="A978" s="34" t="s">
        <v>164</v>
      </c>
      <c r="B978" s="34" t="s">
        <v>165</v>
      </c>
      <c r="C978" t="s">
        <v>260</v>
      </c>
      <c r="D978" t="s">
        <v>180</v>
      </c>
      <c r="E978" t="s">
        <v>203</v>
      </c>
      <c r="F978" t="s">
        <v>183</v>
      </c>
      <c r="G978" t="s">
        <v>169</v>
      </c>
      <c r="H978">
        <v>586</v>
      </c>
      <c r="I978" s="34">
        <f>+POWER_Regional_Daily_20150101_20190305_c11b3312[[#This Row],[Column8]]/100</f>
        <v>5.86</v>
      </c>
      <c r="J978" s="34"/>
    </row>
    <row r="979" spans="1:10" x14ac:dyDescent="0.25">
      <c r="A979" s="34" t="s">
        <v>164</v>
      </c>
      <c r="B979" s="34" t="s">
        <v>165</v>
      </c>
      <c r="C979" t="s">
        <v>260</v>
      </c>
      <c r="D979" t="s">
        <v>180</v>
      </c>
      <c r="E979" t="s">
        <v>205</v>
      </c>
      <c r="F979" t="s">
        <v>213</v>
      </c>
      <c r="G979" t="s">
        <v>169</v>
      </c>
      <c r="H979">
        <v>563</v>
      </c>
      <c r="I979" s="34">
        <f>+POWER_Regional_Daily_20150101_20190305_c11b3312[[#This Row],[Column8]]/100</f>
        <v>5.63</v>
      </c>
      <c r="J979" s="34"/>
    </row>
    <row r="980" spans="1:10" x14ac:dyDescent="0.25">
      <c r="A980" s="34" t="s">
        <v>164</v>
      </c>
      <c r="B980" s="34" t="s">
        <v>165</v>
      </c>
      <c r="C980" t="s">
        <v>260</v>
      </c>
      <c r="D980" t="s">
        <v>180</v>
      </c>
      <c r="E980" t="s">
        <v>207</v>
      </c>
      <c r="F980" t="s">
        <v>209</v>
      </c>
      <c r="G980" t="s">
        <v>169</v>
      </c>
      <c r="H980">
        <v>521</v>
      </c>
      <c r="I980" s="34">
        <f>+POWER_Regional_Daily_20150101_20190305_c11b3312[[#This Row],[Column8]]/100</f>
        <v>5.21</v>
      </c>
      <c r="J980" s="34"/>
    </row>
    <row r="981" spans="1:10" x14ac:dyDescent="0.25">
      <c r="A981" s="34" t="s">
        <v>164</v>
      </c>
      <c r="B981" s="34" t="s">
        <v>165</v>
      </c>
      <c r="C981" t="s">
        <v>260</v>
      </c>
      <c r="D981" t="s">
        <v>180</v>
      </c>
      <c r="E981" t="s">
        <v>208</v>
      </c>
      <c r="F981" t="s">
        <v>241</v>
      </c>
      <c r="G981" t="s">
        <v>169</v>
      </c>
      <c r="H981">
        <v>295</v>
      </c>
      <c r="I981" s="34">
        <f>+POWER_Regional_Daily_20150101_20190305_c11b3312[[#This Row],[Column8]]/100</f>
        <v>2.95</v>
      </c>
      <c r="J981" s="34"/>
    </row>
    <row r="982" spans="1:10" x14ac:dyDescent="0.25">
      <c r="A982" s="34" t="s">
        <v>164</v>
      </c>
      <c r="B982" s="34" t="s">
        <v>165</v>
      </c>
      <c r="C982" t="s">
        <v>260</v>
      </c>
      <c r="D982" t="s">
        <v>180</v>
      </c>
      <c r="E982" t="s">
        <v>210</v>
      </c>
      <c r="F982" t="s">
        <v>181</v>
      </c>
      <c r="G982" t="s">
        <v>169</v>
      </c>
      <c r="H982">
        <v>573</v>
      </c>
      <c r="I982" s="34">
        <f>+POWER_Regional_Daily_20150101_20190305_c11b3312[[#This Row],[Column8]]/100</f>
        <v>5.73</v>
      </c>
      <c r="J982" s="34"/>
    </row>
    <row r="983" spans="1:10" x14ac:dyDescent="0.25">
      <c r="A983" s="34" t="s">
        <v>164</v>
      </c>
      <c r="B983" s="34" t="s">
        <v>165</v>
      </c>
      <c r="C983" t="s">
        <v>260</v>
      </c>
      <c r="D983" t="s">
        <v>180</v>
      </c>
      <c r="E983" t="s">
        <v>212</v>
      </c>
      <c r="F983" t="s">
        <v>222</v>
      </c>
      <c r="G983" t="s">
        <v>169</v>
      </c>
      <c r="H983">
        <v>553</v>
      </c>
      <c r="I983" s="34">
        <f>+POWER_Regional_Daily_20150101_20190305_c11b3312[[#This Row],[Column8]]/100</f>
        <v>5.53</v>
      </c>
      <c r="J983" s="34"/>
    </row>
    <row r="984" spans="1:10" x14ac:dyDescent="0.25">
      <c r="A984" s="34" t="s">
        <v>164</v>
      </c>
      <c r="B984" s="34" t="s">
        <v>165</v>
      </c>
      <c r="C984" t="s">
        <v>260</v>
      </c>
      <c r="D984" t="s">
        <v>180</v>
      </c>
      <c r="E984" t="s">
        <v>214</v>
      </c>
      <c r="F984" t="s">
        <v>183</v>
      </c>
      <c r="G984" t="s">
        <v>169</v>
      </c>
      <c r="H984">
        <v>588</v>
      </c>
      <c r="I984" s="34">
        <f>+POWER_Regional_Daily_20150101_20190305_c11b3312[[#This Row],[Column8]]/100</f>
        <v>5.88</v>
      </c>
      <c r="J984" s="34"/>
    </row>
    <row r="985" spans="1:10" x14ac:dyDescent="0.25">
      <c r="A985" s="34" t="s">
        <v>164</v>
      </c>
      <c r="B985" s="34" t="s">
        <v>165</v>
      </c>
      <c r="C985" t="s">
        <v>260</v>
      </c>
      <c r="D985" t="s">
        <v>180</v>
      </c>
      <c r="E985" t="s">
        <v>215</v>
      </c>
      <c r="F985" t="s">
        <v>187</v>
      </c>
      <c r="G985" t="s">
        <v>169</v>
      </c>
      <c r="H985">
        <v>-999</v>
      </c>
      <c r="I985" s="34">
        <f>+POWER_Regional_Daily_20150101_20190305_c11b3312[[#This Row],[Column8]]/100</f>
        <v>-9.99</v>
      </c>
      <c r="J985" s="34"/>
    </row>
    <row r="986" spans="1:10" x14ac:dyDescent="0.25">
      <c r="A986" s="34" t="s">
        <v>164</v>
      </c>
      <c r="B986" s="34" t="s">
        <v>165</v>
      </c>
      <c r="C986" t="s">
        <v>260</v>
      </c>
      <c r="D986" t="s">
        <v>180</v>
      </c>
      <c r="E986" t="s">
        <v>217</v>
      </c>
      <c r="F986" t="s">
        <v>209</v>
      </c>
      <c r="G986" t="s">
        <v>169</v>
      </c>
      <c r="H986">
        <v>528</v>
      </c>
      <c r="I986" s="34">
        <f>+POWER_Regional_Daily_20150101_20190305_c11b3312[[#This Row],[Column8]]/100</f>
        <v>5.28</v>
      </c>
      <c r="J986" s="34"/>
    </row>
    <row r="987" spans="1:10" x14ac:dyDescent="0.25">
      <c r="A987" s="34" t="s">
        <v>164</v>
      </c>
      <c r="B987" s="34" t="s">
        <v>165</v>
      </c>
      <c r="C987" t="s">
        <v>260</v>
      </c>
      <c r="D987" t="s">
        <v>180</v>
      </c>
      <c r="E987" t="s">
        <v>219</v>
      </c>
      <c r="F987" t="s">
        <v>213</v>
      </c>
      <c r="G987" t="s">
        <v>169</v>
      </c>
      <c r="H987">
        <v>564</v>
      </c>
      <c r="I987" s="34">
        <f>+POWER_Regional_Daily_20150101_20190305_c11b3312[[#This Row],[Column8]]/100</f>
        <v>5.64</v>
      </c>
      <c r="J987" s="34"/>
    </row>
    <row r="988" spans="1:10" x14ac:dyDescent="0.25">
      <c r="A988" s="34" t="s">
        <v>164</v>
      </c>
      <c r="B988" s="34" t="s">
        <v>165</v>
      </c>
      <c r="C988" t="s">
        <v>260</v>
      </c>
      <c r="D988" t="s">
        <v>180</v>
      </c>
      <c r="E988" t="s">
        <v>220</v>
      </c>
      <c r="F988" t="s">
        <v>185</v>
      </c>
      <c r="G988" t="s">
        <v>169</v>
      </c>
      <c r="H988">
        <v>625</v>
      </c>
      <c r="I988" s="34">
        <f>+POWER_Regional_Daily_20150101_20190305_c11b3312[[#This Row],[Column8]]/100</f>
        <v>6.25</v>
      </c>
      <c r="J988" s="34"/>
    </row>
    <row r="989" spans="1:10" x14ac:dyDescent="0.25">
      <c r="A989" s="34" t="s">
        <v>164</v>
      </c>
      <c r="B989" s="34" t="s">
        <v>165</v>
      </c>
      <c r="C989" t="s">
        <v>260</v>
      </c>
      <c r="D989" t="s">
        <v>182</v>
      </c>
      <c r="E989" t="s">
        <v>167</v>
      </c>
      <c r="F989" t="s">
        <v>171</v>
      </c>
      <c r="G989" t="s">
        <v>245</v>
      </c>
      <c r="H989">
        <v>696</v>
      </c>
      <c r="I989" s="34">
        <f>+POWER_Regional_Daily_20150101_20190305_c11b3312[[#This Row],[Column8]]/100</f>
        <v>6.96</v>
      </c>
      <c r="J989" s="34"/>
    </row>
    <row r="990" spans="1:10" x14ac:dyDescent="0.25">
      <c r="A990" s="34" t="s">
        <v>164</v>
      </c>
      <c r="B990" s="34" t="s">
        <v>165</v>
      </c>
      <c r="C990" t="s">
        <v>260</v>
      </c>
      <c r="D990" t="s">
        <v>182</v>
      </c>
      <c r="E990" t="s">
        <v>170</v>
      </c>
      <c r="F990" t="s">
        <v>197</v>
      </c>
      <c r="G990" t="s">
        <v>169</v>
      </c>
      <c r="H990">
        <v>454</v>
      </c>
      <c r="I990" s="34">
        <f>+POWER_Regional_Daily_20150101_20190305_c11b3312[[#This Row],[Column8]]/100</f>
        <v>4.54</v>
      </c>
      <c r="J990" s="34"/>
    </row>
    <row r="991" spans="1:10" x14ac:dyDescent="0.25">
      <c r="A991" s="34" t="s">
        <v>164</v>
      </c>
      <c r="B991" s="34" t="s">
        <v>165</v>
      </c>
      <c r="C991" t="s">
        <v>260</v>
      </c>
      <c r="D991" t="s">
        <v>182</v>
      </c>
      <c r="E991" t="s">
        <v>172</v>
      </c>
      <c r="F991" t="s">
        <v>233</v>
      </c>
      <c r="G991" t="s">
        <v>169</v>
      </c>
      <c r="H991">
        <v>474</v>
      </c>
      <c r="I991" s="34">
        <f>+POWER_Regional_Daily_20150101_20190305_c11b3312[[#This Row],[Column8]]/100</f>
        <v>4.74</v>
      </c>
      <c r="J991" s="34"/>
    </row>
    <row r="992" spans="1:10" x14ac:dyDescent="0.25">
      <c r="A992" s="34" t="s">
        <v>164</v>
      </c>
      <c r="B992" s="34" t="s">
        <v>165</v>
      </c>
      <c r="C992" t="s">
        <v>260</v>
      </c>
      <c r="D992" t="s">
        <v>182</v>
      </c>
      <c r="E992" t="s">
        <v>174</v>
      </c>
      <c r="F992" t="s">
        <v>189</v>
      </c>
      <c r="G992" t="s">
        <v>169</v>
      </c>
      <c r="H992">
        <v>606</v>
      </c>
      <c r="I992" s="34">
        <f>+POWER_Regional_Daily_20150101_20190305_c11b3312[[#This Row],[Column8]]/100</f>
        <v>6.06</v>
      </c>
      <c r="J992" s="34"/>
    </row>
    <row r="993" spans="1:10" x14ac:dyDescent="0.25">
      <c r="A993" s="34" t="s">
        <v>164</v>
      </c>
      <c r="B993" s="34" t="s">
        <v>165</v>
      </c>
      <c r="C993" t="s">
        <v>260</v>
      </c>
      <c r="D993" t="s">
        <v>182</v>
      </c>
      <c r="E993" t="s">
        <v>175</v>
      </c>
      <c r="F993" t="s">
        <v>181</v>
      </c>
      <c r="G993" t="s">
        <v>169</v>
      </c>
      <c r="H993">
        <v>576</v>
      </c>
      <c r="I993" s="34">
        <f>+POWER_Regional_Daily_20150101_20190305_c11b3312[[#This Row],[Column8]]/100</f>
        <v>5.76</v>
      </c>
      <c r="J993" s="34"/>
    </row>
    <row r="994" spans="1:10" x14ac:dyDescent="0.25">
      <c r="A994" s="34" t="s">
        <v>164</v>
      </c>
      <c r="B994" s="34" t="s">
        <v>165</v>
      </c>
      <c r="C994" t="s">
        <v>260</v>
      </c>
      <c r="D994" t="s">
        <v>182</v>
      </c>
      <c r="E994" t="s">
        <v>177</v>
      </c>
      <c r="F994" t="s">
        <v>223</v>
      </c>
      <c r="G994" t="s">
        <v>169</v>
      </c>
      <c r="H994">
        <v>510</v>
      </c>
      <c r="I994" s="34">
        <f>+POWER_Regional_Daily_20150101_20190305_c11b3312[[#This Row],[Column8]]/100</f>
        <v>5.0999999999999996</v>
      </c>
      <c r="J994" s="34"/>
    </row>
    <row r="995" spans="1:10" x14ac:dyDescent="0.25">
      <c r="A995" s="34" t="s">
        <v>164</v>
      </c>
      <c r="B995" s="34" t="s">
        <v>165</v>
      </c>
      <c r="C995" t="s">
        <v>260</v>
      </c>
      <c r="D995" t="s">
        <v>182</v>
      </c>
      <c r="E995" t="s">
        <v>178</v>
      </c>
      <c r="F995" t="s">
        <v>224</v>
      </c>
      <c r="G995" t="s">
        <v>169</v>
      </c>
      <c r="H995">
        <v>463</v>
      </c>
      <c r="I995" s="34">
        <f>+POWER_Regional_Daily_20150101_20190305_c11b3312[[#This Row],[Column8]]/100</f>
        <v>4.63</v>
      </c>
      <c r="J995" s="34"/>
    </row>
    <row r="996" spans="1:10" x14ac:dyDescent="0.25">
      <c r="A996" s="34" t="s">
        <v>164</v>
      </c>
      <c r="B996" s="34" t="s">
        <v>165</v>
      </c>
      <c r="C996" t="s">
        <v>260</v>
      </c>
      <c r="D996" t="s">
        <v>182</v>
      </c>
      <c r="E996" t="s">
        <v>180</v>
      </c>
      <c r="F996" t="s">
        <v>257</v>
      </c>
      <c r="G996" t="s">
        <v>169</v>
      </c>
      <c r="H996">
        <v>200</v>
      </c>
      <c r="I996" s="34">
        <f>+POWER_Regional_Daily_20150101_20190305_c11b3312[[#This Row],[Column8]]/100</f>
        <v>2</v>
      </c>
      <c r="J996" s="34"/>
    </row>
    <row r="997" spans="1:10" x14ac:dyDescent="0.25">
      <c r="A997" s="34" t="s">
        <v>164</v>
      </c>
      <c r="B997" s="34" t="s">
        <v>165</v>
      </c>
      <c r="C997" t="s">
        <v>260</v>
      </c>
      <c r="D997" t="s">
        <v>182</v>
      </c>
      <c r="E997" t="s">
        <v>182</v>
      </c>
      <c r="F997" t="s">
        <v>243</v>
      </c>
      <c r="G997" t="s">
        <v>169</v>
      </c>
      <c r="H997">
        <v>322</v>
      </c>
      <c r="I997" s="34">
        <f>+POWER_Regional_Daily_20150101_20190305_c11b3312[[#This Row],[Column8]]/100</f>
        <v>3.22</v>
      </c>
      <c r="J997" s="34"/>
    </row>
    <row r="998" spans="1:10" x14ac:dyDescent="0.25">
      <c r="A998" s="34" t="s">
        <v>164</v>
      </c>
      <c r="B998" s="34" t="s">
        <v>165</v>
      </c>
      <c r="C998" t="s">
        <v>260</v>
      </c>
      <c r="D998" t="s">
        <v>182</v>
      </c>
      <c r="E998" t="s">
        <v>184</v>
      </c>
      <c r="F998" t="s">
        <v>211</v>
      </c>
      <c r="G998" t="s">
        <v>169</v>
      </c>
      <c r="H998">
        <v>432</v>
      </c>
      <c r="I998" s="34">
        <f>+POWER_Regional_Daily_20150101_20190305_c11b3312[[#This Row],[Column8]]/100</f>
        <v>4.32</v>
      </c>
      <c r="J998" s="34"/>
    </row>
    <row r="999" spans="1:10" x14ac:dyDescent="0.25">
      <c r="A999" s="34" t="s">
        <v>164</v>
      </c>
      <c r="B999" s="34" t="s">
        <v>165</v>
      </c>
      <c r="C999" t="s">
        <v>260</v>
      </c>
      <c r="D999" t="s">
        <v>182</v>
      </c>
      <c r="E999" t="s">
        <v>186</v>
      </c>
      <c r="F999" t="s">
        <v>181</v>
      </c>
      <c r="G999" t="s">
        <v>169</v>
      </c>
      <c r="H999">
        <v>577</v>
      </c>
      <c r="I999" s="34">
        <f>+POWER_Regional_Daily_20150101_20190305_c11b3312[[#This Row],[Column8]]/100</f>
        <v>5.77</v>
      </c>
      <c r="J999" s="34"/>
    </row>
    <row r="1000" spans="1:10" x14ac:dyDescent="0.25">
      <c r="A1000" s="34" t="s">
        <v>164</v>
      </c>
      <c r="B1000" s="34" t="s">
        <v>165</v>
      </c>
      <c r="C1000" t="s">
        <v>260</v>
      </c>
      <c r="D1000" t="s">
        <v>182</v>
      </c>
      <c r="E1000" t="s">
        <v>188</v>
      </c>
      <c r="F1000" t="s">
        <v>181</v>
      </c>
      <c r="G1000" t="s">
        <v>169</v>
      </c>
      <c r="H1000">
        <v>582</v>
      </c>
      <c r="I1000" s="34">
        <f>+POWER_Regional_Daily_20150101_20190305_c11b3312[[#This Row],[Column8]]/100</f>
        <v>5.82</v>
      </c>
      <c r="J1000" s="34"/>
    </row>
    <row r="1001" spans="1:10" x14ac:dyDescent="0.25">
      <c r="A1001" s="34" t="s">
        <v>164</v>
      </c>
      <c r="B1001" s="34" t="s">
        <v>165</v>
      </c>
      <c r="C1001" t="s">
        <v>260</v>
      </c>
      <c r="D1001" t="s">
        <v>182</v>
      </c>
      <c r="E1001" t="s">
        <v>190</v>
      </c>
      <c r="F1001" t="s">
        <v>187</v>
      </c>
      <c r="G1001" t="s">
        <v>169</v>
      </c>
      <c r="H1001">
        <v>-999</v>
      </c>
      <c r="I1001" s="34">
        <f>+POWER_Regional_Daily_20150101_20190305_c11b3312[[#This Row],[Column8]]/100</f>
        <v>-9.99</v>
      </c>
      <c r="J1001" s="34"/>
    </row>
    <row r="1002" spans="1:10" x14ac:dyDescent="0.25">
      <c r="A1002" s="34" t="s">
        <v>164</v>
      </c>
      <c r="B1002" s="34" t="s">
        <v>165</v>
      </c>
      <c r="C1002" t="s">
        <v>260</v>
      </c>
      <c r="D1002" t="s">
        <v>182</v>
      </c>
      <c r="E1002" t="s">
        <v>192</v>
      </c>
      <c r="F1002" t="s">
        <v>235</v>
      </c>
      <c r="G1002" t="s">
        <v>169</v>
      </c>
      <c r="H1002">
        <v>514</v>
      </c>
      <c r="I1002" s="34">
        <f>+POWER_Regional_Daily_20150101_20190305_c11b3312[[#This Row],[Column8]]/100</f>
        <v>5.14</v>
      </c>
      <c r="J1002" s="34"/>
    </row>
    <row r="1003" spans="1:10" x14ac:dyDescent="0.25">
      <c r="A1003" s="34" t="s">
        <v>164</v>
      </c>
      <c r="B1003" s="34" t="s">
        <v>165</v>
      </c>
      <c r="C1003" t="s">
        <v>260</v>
      </c>
      <c r="D1003" t="s">
        <v>182</v>
      </c>
      <c r="E1003" t="s">
        <v>194</v>
      </c>
      <c r="F1003" t="s">
        <v>222</v>
      </c>
      <c r="G1003" t="s">
        <v>169</v>
      </c>
      <c r="H1003">
        <v>553</v>
      </c>
      <c r="I1003" s="34">
        <f>+POWER_Regional_Daily_20150101_20190305_c11b3312[[#This Row],[Column8]]/100</f>
        <v>5.53</v>
      </c>
      <c r="J1003" s="34"/>
    </row>
    <row r="1004" spans="1:10" x14ac:dyDescent="0.25">
      <c r="A1004" s="34" t="s">
        <v>164</v>
      </c>
      <c r="B1004" s="34" t="s">
        <v>165</v>
      </c>
      <c r="C1004" t="s">
        <v>260</v>
      </c>
      <c r="D1004" t="s">
        <v>182</v>
      </c>
      <c r="E1004" t="s">
        <v>196</v>
      </c>
      <c r="F1004" t="s">
        <v>223</v>
      </c>
      <c r="G1004" t="s">
        <v>169</v>
      </c>
      <c r="H1004">
        <v>505</v>
      </c>
      <c r="I1004" s="34">
        <f>+POWER_Regional_Daily_20150101_20190305_c11b3312[[#This Row],[Column8]]/100</f>
        <v>5.05</v>
      </c>
      <c r="J1004" s="34"/>
    </row>
    <row r="1005" spans="1:10" x14ac:dyDescent="0.25">
      <c r="A1005" s="34" t="s">
        <v>164</v>
      </c>
      <c r="B1005" s="34" t="s">
        <v>165</v>
      </c>
      <c r="C1005" t="s">
        <v>260</v>
      </c>
      <c r="D1005" t="s">
        <v>182</v>
      </c>
      <c r="E1005" t="s">
        <v>198</v>
      </c>
      <c r="F1005" t="s">
        <v>230</v>
      </c>
      <c r="G1005" t="s">
        <v>169</v>
      </c>
      <c r="H1005">
        <v>379</v>
      </c>
      <c r="I1005" s="34">
        <f>+POWER_Regional_Daily_20150101_20190305_c11b3312[[#This Row],[Column8]]/100</f>
        <v>3.79</v>
      </c>
      <c r="J1005" s="34"/>
    </row>
    <row r="1006" spans="1:10" x14ac:dyDescent="0.25">
      <c r="A1006" s="34" t="s">
        <v>164</v>
      </c>
      <c r="B1006" s="34" t="s">
        <v>165</v>
      </c>
      <c r="C1006" t="s">
        <v>260</v>
      </c>
      <c r="D1006" t="s">
        <v>182</v>
      </c>
      <c r="E1006" t="s">
        <v>199</v>
      </c>
      <c r="F1006" t="s">
        <v>213</v>
      </c>
      <c r="G1006" t="s">
        <v>169</v>
      </c>
      <c r="H1006">
        <v>571</v>
      </c>
      <c r="I1006" s="34">
        <f>+POWER_Regional_Daily_20150101_20190305_c11b3312[[#This Row],[Column8]]/100</f>
        <v>5.71</v>
      </c>
      <c r="J1006" s="34"/>
    </row>
    <row r="1007" spans="1:10" x14ac:dyDescent="0.25">
      <c r="A1007" s="34" t="s">
        <v>164</v>
      </c>
      <c r="B1007" s="34" t="s">
        <v>165</v>
      </c>
      <c r="C1007" t="s">
        <v>260</v>
      </c>
      <c r="D1007" t="s">
        <v>182</v>
      </c>
      <c r="E1007" t="s">
        <v>200</v>
      </c>
      <c r="F1007" t="s">
        <v>222</v>
      </c>
      <c r="G1007" t="s">
        <v>169</v>
      </c>
      <c r="H1007">
        <v>559</v>
      </c>
      <c r="I1007" s="34">
        <f>+POWER_Regional_Daily_20150101_20190305_c11b3312[[#This Row],[Column8]]/100</f>
        <v>5.59</v>
      </c>
      <c r="J1007" s="34"/>
    </row>
    <row r="1008" spans="1:10" x14ac:dyDescent="0.25">
      <c r="A1008" s="34" t="s">
        <v>164</v>
      </c>
      <c r="B1008" s="34" t="s">
        <v>165</v>
      </c>
      <c r="C1008" t="s">
        <v>260</v>
      </c>
      <c r="D1008" t="s">
        <v>182</v>
      </c>
      <c r="E1008" t="s">
        <v>202</v>
      </c>
      <c r="F1008" t="s">
        <v>197</v>
      </c>
      <c r="G1008" t="s">
        <v>169</v>
      </c>
      <c r="H1008">
        <v>454</v>
      </c>
      <c r="I1008" s="34">
        <f>+POWER_Regional_Daily_20150101_20190305_c11b3312[[#This Row],[Column8]]/100</f>
        <v>4.54</v>
      </c>
      <c r="J1008" s="34"/>
    </row>
    <row r="1009" spans="1:10" x14ac:dyDescent="0.25">
      <c r="A1009" s="34" t="s">
        <v>164</v>
      </c>
      <c r="B1009" s="34" t="s">
        <v>165</v>
      </c>
      <c r="C1009" t="s">
        <v>260</v>
      </c>
      <c r="D1009" t="s">
        <v>182</v>
      </c>
      <c r="E1009" t="s">
        <v>203</v>
      </c>
      <c r="F1009" t="s">
        <v>235</v>
      </c>
      <c r="G1009" t="s">
        <v>169</v>
      </c>
      <c r="H1009">
        <v>512</v>
      </c>
      <c r="I1009" s="34">
        <f>+POWER_Regional_Daily_20150101_20190305_c11b3312[[#This Row],[Column8]]/100</f>
        <v>5.12</v>
      </c>
      <c r="J1009" s="34"/>
    </row>
    <row r="1010" spans="1:10" x14ac:dyDescent="0.25">
      <c r="A1010" s="34" t="s">
        <v>164</v>
      </c>
      <c r="B1010" s="34" t="s">
        <v>165</v>
      </c>
      <c r="C1010" t="s">
        <v>260</v>
      </c>
      <c r="D1010" t="s">
        <v>182</v>
      </c>
      <c r="E1010" t="s">
        <v>205</v>
      </c>
      <c r="F1010" t="s">
        <v>235</v>
      </c>
      <c r="G1010" t="s">
        <v>169</v>
      </c>
      <c r="H1010">
        <v>510</v>
      </c>
      <c r="I1010" s="34">
        <f>+POWER_Regional_Daily_20150101_20190305_c11b3312[[#This Row],[Column8]]/100</f>
        <v>5.0999999999999996</v>
      </c>
      <c r="J1010" s="34"/>
    </row>
    <row r="1011" spans="1:10" x14ac:dyDescent="0.25">
      <c r="A1011" s="34" t="s">
        <v>164</v>
      </c>
      <c r="B1011" s="34" t="s">
        <v>165</v>
      </c>
      <c r="C1011" t="s">
        <v>260</v>
      </c>
      <c r="D1011" t="s">
        <v>182</v>
      </c>
      <c r="E1011" t="s">
        <v>207</v>
      </c>
      <c r="F1011" t="s">
        <v>195</v>
      </c>
      <c r="G1011" t="s">
        <v>169</v>
      </c>
      <c r="H1011">
        <v>485</v>
      </c>
      <c r="I1011" s="34">
        <f>+POWER_Regional_Daily_20150101_20190305_c11b3312[[#This Row],[Column8]]/100</f>
        <v>4.8499999999999996</v>
      </c>
      <c r="J1011" s="34"/>
    </row>
    <row r="1012" spans="1:10" x14ac:dyDescent="0.25">
      <c r="A1012" s="34" t="s">
        <v>164</v>
      </c>
      <c r="B1012" s="34" t="s">
        <v>165</v>
      </c>
      <c r="C1012" t="s">
        <v>260</v>
      </c>
      <c r="D1012" t="s">
        <v>182</v>
      </c>
      <c r="E1012" t="s">
        <v>208</v>
      </c>
      <c r="F1012" t="s">
        <v>235</v>
      </c>
      <c r="G1012" t="s">
        <v>169</v>
      </c>
      <c r="H1012">
        <v>518</v>
      </c>
      <c r="I1012" s="34">
        <f>+POWER_Regional_Daily_20150101_20190305_c11b3312[[#This Row],[Column8]]/100</f>
        <v>5.18</v>
      </c>
      <c r="J1012" s="34"/>
    </row>
    <row r="1013" spans="1:10" x14ac:dyDescent="0.25">
      <c r="A1013" s="34" t="s">
        <v>164</v>
      </c>
      <c r="B1013" s="34" t="s">
        <v>165</v>
      </c>
      <c r="C1013" t="s">
        <v>260</v>
      </c>
      <c r="D1013" t="s">
        <v>182</v>
      </c>
      <c r="E1013" t="s">
        <v>210</v>
      </c>
      <c r="F1013" t="s">
        <v>231</v>
      </c>
      <c r="G1013" t="s">
        <v>169</v>
      </c>
      <c r="H1013">
        <v>493</v>
      </c>
      <c r="I1013" s="34">
        <f>+POWER_Regional_Daily_20150101_20190305_c11b3312[[#This Row],[Column8]]/100</f>
        <v>4.93</v>
      </c>
      <c r="J1013" s="34"/>
    </row>
    <row r="1014" spans="1:10" x14ac:dyDescent="0.25">
      <c r="A1014" s="34" t="s">
        <v>164</v>
      </c>
      <c r="B1014" s="34" t="s">
        <v>165</v>
      </c>
      <c r="C1014" t="s">
        <v>260</v>
      </c>
      <c r="D1014" t="s">
        <v>182</v>
      </c>
      <c r="E1014" t="s">
        <v>212</v>
      </c>
      <c r="F1014" t="s">
        <v>225</v>
      </c>
      <c r="G1014" t="s">
        <v>169</v>
      </c>
      <c r="H1014">
        <v>305</v>
      </c>
      <c r="I1014" s="34">
        <f>+POWER_Regional_Daily_20150101_20190305_c11b3312[[#This Row],[Column8]]/100</f>
        <v>3.05</v>
      </c>
      <c r="J1014" s="34"/>
    </row>
    <row r="1015" spans="1:10" x14ac:dyDescent="0.25">
      <c r="A1015" s="34" t="s">
        <v>164</v>
      </c>
      <c r="B1015" s="34" t="s">
        <v>165</v>
      </c>
      <c r="C1015" t="s">
        <v>260</v>
      </c>
      <c r="D1015" t="s">
        <v>182</v>
      </c>
      <c r="E1015" t="s">
        <v>214</v>
      </c>
      <c r="F1015" t="s">
        <v>185</v>
      </c>
      <c r="G1015" t="s">
        <v>169</v>
      </c>
      <c r="H1015">
        <v>625</v>
      </c>
      <c r="I1015" s="34">
        <f>+POWER_Regional_Daily_20150101_20190305_c11b3312[[#This Row],[Column8]]/100</f>
        <v>6.25</v>
      </c>
      <c r="J1015" s="34"/>
    </row>
    <row r="1016" spans="1:10" x14ac:dyDescent="0.25">
      <c r="A1016" s="34" t="s">
        <v>164</v>
      </c>
      <c r="B1016" s="34" t="s">
        <v>165</v>
      </c>
      <c r="C1016" t="s">
        <v>260</v>
      </c>
      <c r="D1016" t="s">
        <v>182</v>
      </c>
      <c r="E1016" t="s">
        <v>215</v>
      </c>
      <c r="F1016" t="s">
        <v>240</v>
      </c>
      <c r="G1016" t="s">
        <v>169</v>
      </c>
      <c r="H1016">
        <v>288</v>
      </c>
      <c r="I1016" s="34">
        <f>+POWER_Regional_Daily_20150101_20190305_c11b3312[[#This Row],[Column8]]/100</f>
        <v>2.88</v>
      </c>
      <c r="J1016" s="34"/>
    </row>
    <row r="1017" spans="1:10" x14ac:dyDescent="0.25">
      <c r="A1017" s="34" t="s">
        <v>164</v>
      </c>
      <c r="B1017" s="34" t="s">
        <v>165</v>
      </c>
      <c r="C1017" t="s">
        <v>260</v>
      </c>
      <c r="D1017" t="s">
        <v>182</v>
      </c>
      <c r="E1017" t="s">
        <v>217</v>
      </c>
      <c r="F1017" t="s">
        <v>187</v>
      </c>
      <c r="G1017" t="s">
        <v>169</v>
      </c>
      <c r="H1017">
        <v>-999</v>
      </c>
      <c r="I1017" s="34">
        <f>+POWER_Regional_Daily_20150101_20190305_c11b3312[[#This Row],[Column8]]/100</f>
        <v>-9.99</v>
      </c>
      <c r="J1017" s="34"/>
    </row>
    <row r="1018" spans="1:10" x14ac:dyDescent="0.25">
      <c r="A1018" s="34" t="s">
        <v>164</v>
      </c>
      <c r="B1018" s="34" t="s">
        <v>165</v>
      </c>
      <c r="C1018" t="s">
        <v>260</v>
      </c>
      <c r="D1018" t="s">
        <v>182</v>
      </c>
      <c r="E1018" t="s">
        <v>219</v>
      </c>
      <c r="F1018" t="s">
        <v>240</v>
      </c>
      <c r="G1018" t="s">
        <v>169</v>
      </c>
      <c r="H1018">
        <v>283</v>
      </c>
      <c r="I1018" s="34">
        <f>+POWER_Regional_Daily_20150101_20190305_c11b3312[[#This Row],[Column8]]/100</f>
        <v>2.83</v>
      </c>
      <c r="J1018" s="34"/>
    </row>
    <row r="1019" spans="1:10" x14ac:dyDescent="0.25">
      <c r="A1019" s="34" t="s">
        <v>164</v>
      </c>
      <c r="B1019" s="34" t="s">
        <v>165</v>
      </c>
      <c r="C1019" t="s">
        <v>260</v>
      </c>
      <c r="D1019" t="s">
        <v>184</v>
      </c>
      <c r="E1019" t="s">
        <v>167</v>
      </c>
      <c r="F1019" t="s">
        <v>195</v>
      </c>
      <c r="G1019" t="s">
        <v>169</v>
      </c>
      <c r="H1019">
        <v>479</v>
      </c>
      <c r="I1019" s="34">
        <f>+POWER_Regional_Daily_20150101_20190305_c11b3312[[#This Row],[Column8]]/100</f>
        <v>4.79</v>
      </c>
      <c r="J1019" s="34"/>
    </row>
    <row r="1020" spans="1:10" x14ac:dyDescent="0.25">
      <c r="A1020" s="34" t="s">
        <v>164</v>
      </c>
      <c r="B1020" s="34" t="s">
        <v>165</v>
      </c>
      <c r="C1020" t="s">
        <v>260</v>
      </c>
      <c r="D1020" t="s">
        <v>184</v>
      </c>
      <c r="E1020" t="s">
        <v>170</v>
      </c>
      <c r="F1020" t="s">
        <v>231</v>
      </c>
      <c r="G1020" t="s">
        <v>169</v>
      </c>
      <c r="H1020">
        <v>496</v>
      </c>
      <c r="I1020" s="34">
        <f>+POWER_Regional_Daily_20150101_20190305_c11b3312[[#This Row],[Column8]]/100</f>
        <v>4.96</v>
      </c>
      <c r="J1020" s="34"/>
    </row>
    <row r="1021" spans="1:10" x14ac:dyDescent="0.25">
      <c r="A1021" s="34" t="s">
        <v>164</v>
      </c>
      <c r="B1021" s="34" t="s">
        <v>165</v>
      </c>
      <c r="C1021" t="s">
        <v>260</v>
      </c>
      <c r="D1021" t="s">
        <v>184</v>
      </c>
      <c r="E1021" t="s">
        <v>172</v>
      </c>
      <c r="F1021" t="s">
        <v>235</v>
      </c>
      <c r="G1021" t="s">
        <v>169</v>
      </c>
      <c r="H1021">
        <v>510</v>
      </c>
      <c r="I1021" s="34">
        <f>+POWER_Regional_Daily_20150101_20190305_c11b3312[[#This Row],[Column8]]/100</f>
        <v>5.0999999999999996</v>
      </c>
      <c r="J1021" s="34"/>
    </row>
    <row r="1022" spans="1:10" x14ac:dyDescent="0.25">
      <c r="A1022" s="34" t="s">
        <v>164</v>
      </c>
      <c r="B1022" s="34" t="s">
        <v>165</v>
      </c>
      <c r="C1022" t="s">
        <v>260</v>
      </c>
      <c r="D1022" t="s">
        <v>184</v>
      </c>
      <c r="E1022" t="s">
        <v>174</v>
      </c>
      <c r="F1022" t="s">
        <v>216</v>
      </c>
      <c r="G1022" t="s">
        <v>169</v>
      </c>
      <c r="H1022">
        <v>330</v>
      </c>
      <c r="I1022" s="34">
        <f>+POWER_Regional_Daily_20150101_20190305_c11b3312[[#This Row],[Column8]]/100</f>
        <v>3.3</v>
      </c>
      <c r="J1022" s="34"/>
    </row>
    <row r="1023" spans="1:10" x14ac:dyDescent="0.25">
      <c r="A1023" s="34" t="s">
        <v>164</v>
      </c>
      <c r="B1023" s="34" t="s">
        <v>165</v>
      </c>
      <c r="C1023" t="s">
        <v>260</v>
      </c>
      <c r="D1023" t="s">
        <v>184</v>
      </c>
      <c r="E1023" t="s">
        <v>175</v>
      </c>
      <c r="F1023" t="s">
        <v>263</v>
      </c>
      <c r="G1023" t="s">
        <v>169</v>
      </c>
      <c r="H1023">
        <v>214</v>
      </c>
      <c r="I1023" s="34">
        <f>+POWER_Regional_Daily_20150101_20190305_c11b3312[[#This Row],[Column8]]/100</f>
        <v>2.14</v>
      </c>
      <c r="J1023" s="34"/>
    </row>
    <row r="1024" spans="1:10" x14ac:dyDescent="0.25">
      <c r="A1024" s="34" t="s">
        <v>164</v>
      </c>
      <c r="B1024" s="34" t="s">
        <v>165</v>
      </c>
      <c r="C1024" t="s">
        <v>260</v>
      </c>
      <c r="D1024" t="s">
        <v>184</v>
      </c>
      <c r="E1024" t="s">
        <v>177</v>
      </c>
      <c r="F1024" t="s">
        <v>213</v>
      </c>
      <c r="G1024" t="s">
        <v>169</v>
      </c>
      <c r="H1024">
        <v>561</v>
      </c>
      <c r="I1024" s="34">
        <f>+POWER_Regional_Daily_20150101_20190305_c11b3312[[#This Row],[Column8]]/100</f>
        <v>5.61</v>
      </c>
      <c r="J1024" s="34"/>
    </row>
    <row r="1025" spans="1:10" x14ac:dyDescent="0.25">
      <c r="A1025" s="34" t="s">
        <v>164</v>
      </c>
      <c r="B1025" s="34" t="s">
        <v>165</v>
      </c>
      <c r="C1025" t="s">
        <v>260</v>
      </c>
      <c r="D1025" t="s">
        <v>184</v>
      </c>
      <c r="E1025" t="s">
        <v>178</v>
      </c>
      <c r="F1025" t="s">
        <v>204</v>
      </c>
      <c r="G1025" t="s">
        <v>169</v>
      </c>
      <c r="H1025">
        <v>433</v>
      </c>
      <c r="I1025" s="34">
        <f>+POWER_Regional_Daily_20150101_20190305_c11b3312[[#This Row],[Column8]]/100</f>
        <v>4.33</v>
      </c>
      <c r="J1025" s="34"/>
    </row>
    <row r="1026" spans="1:10" x14ac:dyDescent="0.25">
      <c r="A1026" s="34" t="s">
        <v>164</v>
      </c>
      <c r="B1026" s="34" t="s">
        <v>165</v>
      </c>
      <c r="C1026" t="s">
        <v>260</v>
      </c>
      <c r="D1026" t="s">
        <v>184</v>
      </c>
      <c r="E1026" t="s">
        <v>180</v>
      </c>
      <c r="F1026" t="s">
        <v>237</v>
      </c>
      <c r="G1026" t="s">
        <v>169</v>
      </c>
      <c r="H1026">
        <v>279</v>
      </c>
      <c r="I1026" s="34">
        <f>+POWER_Regional_Daily_20150101_20190305_c11b3312[[#This Row],[Column8]]/100</f>
        <v>2.79</v>
      </c>
      <c r="J1026" s="34"/>
    </row>
    <row r="1027" spans="1:10" x14ac:dyDescent="0.25">
      <c r="A1027" s="34" t="s">
        <v>164</v>
      </c>
      <c r="B1027" s="34" t="s">
        <v>165</v>
      </c>
      <c r="C1027" t="s">
        <v>260</v>
      </c>
      <c r="D1027" t="s">
        <v>184</v>
      </c>
      <c r="E1027" t="s">
        <v>182</v>
      </c>
      <c r="F1027" t="s">
        <v>299</v>
      </c>
      <c r="G1027" t="s">
        <v>169</v>
      </c>
      <c r="H1027">
        <v>202</v>
      </c>
      <c r="I1027" s="34">
        <f>+POWER_Regional_Daily_20150101_20190305_c11b3312[[#This Row],[Column8]]/100</f>
        <v>2.02</v>
      </c>
      <c r="J1027" s="34"/>
    </row>
    <row r="1028" spans="1:10" x14ac:dyDescent="0.25">
      <c r="A1028" s="34" t="s">
        <v>164</v>
      </c>
      <c r="B1028" s="34" t="s">
        <v>165</v>
      </c>
      <c r="C1028" t="s">
        <v>260</v>
      </c>
      <c r="D1028" t="s">
        <v>184</v>
      </c>
      <c r="E1028" t="s">
        <v>184</v>
      </c>
      <c r="F1028" t="s">
        <v>213</v>
      </c>
      <c r="G1028" t="s">
        <v>169</v>
      </c>
      <c r="H1028">
        <v>555</v>
      </c>
      <c r="I1028" s="34">
        <f>+POWER_Regional_Daily_20150101_20190305_c11b3312[[#This Row],[Column8]]/100</f>
        <v>5.55</v>
      </c>
      <c r="J1028" s="34"/>
    </row>
    <row r="1029" spans="1:10" x14ac:dyDescent="0.25">
      <c r="A1029" s="34" t="s">
        <v>164</v>
      </c>
      <c r="B1029" s="34" t="s">
        <v>165</v>
      </c>
      <c r="C1029" t="s">
        <v>260</v>
      </c>
      <c r="D1029" t="s">
        <v>184</v>
      </c>
      <c r="E1029" t="s">
        <v>186</v>
      </c>
      <c r="F1029" t="s">
        <v>230</v>
      </c>
      <c r="G1029" t="s">
        <v>169</v>
      </c>
      <c r="H1029">
        <v>373</v>
      </c>
      <c r="I1029" s="34">
        <f>+POWER_Regional_Daily_20150101_20190305_c11b3312[[#This Row],[Column8]]/100</f>
        <v>3.73</v>
      </c>
      <c r="J1029" s="34"/>
    </row>
    <row r="1030" spans="1:10" x14ac:dyDescent="0.25">
      <c r="A1030" s="34" t="s">
        <v>164</v>
      </c>
      <c r="B1030" s="34" t="s">
        <v>165</v>
      </c>
      <c r="C1030" t="s">
        <v>260</v>
      </c>
      <c r="D1030" t="s">
        <v>184</v>
      </c>
      <c r="E1030" t="s">
        <v>188</v>
      </c>
      <c r="F1030" t="s">
        <v>222</v>
      </c>
      <c r="G1030" t="s">
        <v>169</v>
      </c>
      <c r="H1030">
        <v>551</v>
      </c>
      <c r="I1030" s="34">
        <f>+POWER_Regional_Daily_20150101_20190305_c11b3312[[#This Row],[Column8]]/100</f>
        <v>5.51</v>
      </c>
      <c r="J1030" s="34"/>
    </row>
    <row r="1031" spans="1:10" x14ac:dyDescent="0.25">
      <c r="A1031" s="34" t="s">
        <v>164</v>
      </c>
      <c r="B1031" s="34" t="s">
        <v>165</v>
      </c>
      <c r="C1031" t="s">
        <v>260</v>
      </c>
      <c r="D1031" t="s">
        <v>184</v>
      </c>
      <c r="E1031" t="s">
        <v>190</v>
      </c>
      <c r="F1031" t="s">
        <v>223</v>
      </c>
      <c r="G1031" t="s">
        <v>169</v>
      </c>
      <c r="H1031">
        <v>497</v>
      </c>
      <c r="I1031" s="34">
        <f>+POWER_Regional_Daily_20150101_20190305_c11b3312[[#This Row],[Column8]]/100</f>
        <v>4.97</v>
      </c>
      <c r="J1031" s="34"/>
    </row>
    <row r="1032" spans="1:10" x14ac:dyDescent="0.25">
      <c r="A1032" s="34" t="s">
        <v>164</v>
      </c>
      <c r="B1032" s="34" t="s">
        <v>165</v>
      </c>
      <c r="C1032" t="s">
        <v>260</v>
      </c>
      <c r="D1032" t="s">
        <v>184</v>
      </c>
      <c r="E1032" t="s">
        <v>192</v>
      </c>
      <c r="F1032" t="s">
        <v>230</v>
      </c>
      <c r="G1032" t="s">
        <v>169</v>
      </c>
      <c r="H1032">
        <v>371</v>
      </c>
      <c r="I1032" s="34">
        <f>+POWER_Regional_Daily_20150101_20190305_c11b3312[[#This Row],[Column8]]/100</f>
        <v>3.71</v>
      </c>
      <c r="J1032" s="34"/>
    </row>
    <row r="1033" spans="1:10" x14ac:dyDescent="0.25">
      <c r="A1033" s="34" t="s">
        <v>164</v>
      </c>
      <c r="B1033" s="34" t="s">
        <v>165</v>
      </c>
      <c r="C1033" t="s">
        <v>260</v>
      </c>
      <c r="D1033" t="s">
        <v>184</v>
      </c>
      <c r="E1033" t="s">
        <v>194</v>
      </c>
      <c r="F1033" t="s">
        <v>187</v>
      </c>
      <c r="G1033" t="s">
        <v>169</v>
      </c>
      <c r="H1033">
        <v>-999</v>
      </c>
      <c r="I1033" s="34">
        <f>+POWER_Regional_Daily_20150101_20190305_c11b3312[[#This Row],[Column8]]/100</f>
        <v>-9.99</v>
      </c>
      <c r="J1033" s="34"/>
    </row>
    <row r="1034" spans="1:10" x14ac:dyDescent="0.25">
      <c r="A1034" s="34" t="s">
        <v>164</v>
      </c>
      <c r="B1034" s="34" t="s">
        <v>165</v>
      </c>
      <c r="C1034" t="s">
        <v>260</v>
      </c>
      <c r="D1034" t="s">
        <v>184</v>
      </c>
      <c r="E1034" t="s">
        <v>196</v>
      </c>
      <c r="F1034" t="s">
        <v>201</v>
      </c>
      <c r="G1034" t="s">
        <v>169</v>
      </c>
      <c r="H1034">
        <v>531</v>
      </c>
      <c r="I1034" s="34">
        <f>+POWER_Regional_Daily_20150101_20190305_c11b3312[[#This Row],[Column8]]/100</f>
        <v>5.31</v>
      </c>
      <c r="J1034" s="34"/>
    </row>
    <row r="1035" spans="1:10" x14ac:dyDescent="0.25">
      <c r="A1035" s="34" t="s">
        <v>164</v>
      </c>
      <c r="B1035" s="34" t="s">
        <v>165</v>
      </c>
      <c r="C1035" t="s">
        <v>260</v>
      </c>
      <c r="D1035" t="s">
        <v>184</v>
      </c>
      <c r="E1035" t="s">
        <v>198</v>
      </c>
      <c r="F1035" t="s">
        <v>189</v>
      </c>
      <c r="G1035" t="s">
        <v>169</v>
      </c>
      <c r="H1035">
        <v>596</v>
      </c>
      <c r="I1035" s="34">
        <f>+POWER_Regional_Daily_20150101_20190305_c11b3312[[#This Row],[Column8]]/100</f>
        <v>5.96</v>
      </c>
      <c r="J1035" s="34"/>
    </row>
    <row r="1036" spans="1:10" x14ac:dyDescent="0.25">
      <c r="A1036" s="34" t="s">
        <v>164</v>
      </c>
      <c r="B1036" s="34" t="s">
        <v>165</v>
      </c>
      <c r="C1036" t="s">
        <v>260</v>
      </c>
      <c r="D1036" t="s">
        <v>184</v>
      </c>
      <c r="E1036" t="s">
        <v>199</v>
      </c>
      <c r="F1036" t="s">
        <v>232</v>
      </c>
      <c r="G1036" t="s">
        <v>169</v>
      </c>
      <c r="H1036">
        <v>604</v>
      </c>
      <c r="I1036" s="34">
        <f>+POWER_Regional_Daily_20150101_20190305_c11b3312[[#This Row],[Column8]]/100</f>
        <v>6.04</v>
      </c>
      <c r="J1036" s="34"/>
    </row>
    <row r="1037" spans="1:10" x14ac:dyDescent="0.25">
      <c r="A1037" s="34" t="s">
        <v>164</v>
      </c>
      <c r="B1037" s="34" t="s">
        <v>165</v>
      </c>
      <c r="C1037" t="s">
        <v>260</v>
      </c>
      <c r="D1037" t="s">
        <v>184</v>
      </c>
      <c r="E1037" t="s">
        <v>200</v>
      </c>
      <c r="F1037" t="s">
        <v>195</v>
      </c>
      <c r="G1037" t="s">
        <v>169</v>
      </c>
      <c r="H1037">
        <v>470</v>
      </c>
      <c r="I1037" s="34">
        <f>+POWER_Regional_Daily_20150101_20190305_c11b3312[[#This Row],[Column8]]/100</f>
        <v>4.7</v>
      </c>
      <c r="J1037" s="34"/>
    </row>
    <row r="1038" spans="1:10" x14ac:dyDescent="0.25">
      <c r="A1038" s="34" t="s">
        <v>164</v>
      </c>
      <c r="B1038" s="34" t="s">
        <v>165</v>
      </c>
      <c r="C1038" t="s">
        <v>260</v>
      </c>
      <c r="D1038" t="s">
        <v>184</v>
      </c>
      <c r="E1038" t="s">
        <v>202</v>
      </c>
      <c r="F1038" t="s">
        <v>183</v>
      </c>
      <c r="G1038" t="s">
        <v>169</v>
      </c>
      <c r="H1038">
        <v>572</v>
      </c>
      <c r="I1038" s="34">
        <f>+POWER_Regional_Daily_20150101_20190305_c11b3312[[#This Row],[Column8]]/100</f>
        <v>5.72</v>
      </c>
      <c r="J1038" s="34"/>
    </row>
    <row r="1039" spans="1:10" x14ac:dyDescent="0.25">
      <c r="A1039" s="34" t="s">
        <v>164</v>
      </c>
      <c r="B1039" s="34" t="s">
        <v>165</v>
      </c>
      <c r="C1039" t="s">
        <v>260</v>
      </c>
      <c r="D1039" t="s">
        <v>184</v>
      </c>
      <c r="E1039" t="s">
        <v>203</v>
      </c>
      <c r="F1039" t="s">
        <v>204</v>
      </c>
      <c r="G1039" t="s">
        <v>169</v>
      </c>
      <c r="H1039">
        <v>432</v>
      </c>
      <c r="I1039" s="34">
        <f>+POWER_Regional_Daily_20150101_20190305_c11b3312[[#This Row],[Column8]]/100</f>
        <v>4.32</v>
      </c>
      <c r="J1039" s="34"/>
    </row>
    <row r="1040" spans="1:10" x14ac:dyDescent="0.25">
      <c r="A1040" s="34" t="s">
        <v>164</v>
      </c>
      <c r="B1040" s="34" t="s">
        <v>165</v>
      </c>
      <c r="C1040" t="s">
        <v>260</v>
      </c>
      <c r="D1040" t="s">
        <v>184</v>
      </c>
      <c r="E1040" t="s">
        <v>205</v>
      </c>
      <c r="F1040" t="s">
        <v>224</v>
      </c>
      <c r="G1040" t="s">
        <v>169</v>
      </c>
      <c r="H1040">
        <v>448</v>
      </c>
      <c r="I1040" s="34">
        <f>+POWER_Regional_Daily_20150101_20190305_c11b3312[[#This Row],[Column8]]/100</f>
        <v>4.4800000000000004</v>
      </c>
      <c r="J1040" s="34"/>
    </row>
    <row r="1041" spans="1:10" x14ac:dyDescent="0.25">
      <c r="A1041" s="34" t="s">
        <v>164</v>
      </c>
      <c r="B1041" s="34" t="s">
        <v>165</v>
      </c>
      <c r="C1041" t="s">
        <v>260</v>
      </c>
      <c r="D1041" t="s">
        <v>184</v>
      </c>
      <c r="E1041" t="s">
        <v>207</v>
      </c>
      <c r="F1041" t="s">
        <v>241</v>
      </c>
      <c r="G1041" t="s">
        <v>169</v>
      </c>
      <c r="H1041">
        <v>289</v>
      </c>
      <c r="I1041" s="34">
        <f>+POWER_Regional_Daily_20150101_20190305_c11b3312[[#This Row],[Column8]]/100</f>
        <v>2.89</v>
      </c>
      <c r="J1041" s="34"/>
    </row>
    <row r="1042" spans="1:10" x14ac:dyDescent="0.25">
      <c r="A1042" s="34" t="s">
        <v>164</v>
      </c>
      <c r="B1042" s="34" t="s">
        <v>165</v>
      </c>
      <c r="C1042" t="s">
        <v>260</v>
      </c>
      <c r="D1042" t="s">
        <v>184</v>
      </c>
      <c r="E1042" t="s">
        <v>208</v>
      </c>
      <c r="F1042" t="s">
        <v>311</v>
      </c>
      <c r="G1042" t="s">
        <v>169</v>
      </c>
      <c r="H1042">
        <v>165</v>
      </c>
      <c r="I1042" s="34">
        <f>+POWER_Regional_Daily_20150101_20190305_c11b3312[[#This Row],[Column8]]/100</f>
        <v>1.65</v>
      </c>
      <c r="J1042" s="34"/>
    </row>
    <row r="1043" spans="1:10" x14ac:dyDescent="0.25">
      <c r="A1043" s="34" t="s">
        <v>164</v>
      </c>
      <c r="B1043" s="34" t="s">
        <v>165</v>
      </c>
      <c r="C1043" t="s">
        <v>260</v>
      </c>
      <c r="D1043" t="s">
        <v>184</v>
      </c>
      <c r="E1043" t="s">
        <v>210</v>
      </c>
      <c r="F1043" t="s">
        <v>230</v>
      </c>
      <c r="G1043" t="s">
        <v>169</v>
      </c>
      <c r="H1043">
        <v>365</v>
      </c>
      <c r="I1043" s="34">
        <f>+POWER_Regional_Daily_20150101_20190305_c11b3312[[#This Row],[Column8]]/100</f>
        <v>3.65</v>
      </c>
      <c r="J1043" s="34"/>
    </row>
    <row r="1044" spans="1:10" x14ac:dyDescent="0.25">
      <c r="A1044" s="34" t="s">
        <v>164</v>
      </c>
      <c r="B1044" s="34" t="s">
        <v>165</v>
      </c>
      <c r="C1044" t="s">
        <v>260</v>
      </c>
      <c r="D1044" t="s">
        <v>184</v>
      </c>
      <c r="E1044" t="s">
        <v>212</v>
      </c>
      <c r="F1044" t="s">
        <v>259</v>
      </c>
      <c r="G1044" t="s">
        <v>169</v>
      </c>
      <c r="H1044">
        <v>175</v>
      </c>
      <c r="I1044" s="34">
        <f>+POWER_Regional_Daily_20150101_20190305_c11b3312[[#This Row],[Column8]]/100</f>
        <v>1.75</v>
      </c>
      <c r="J1044" s="34"/>
    </row>
    <row r="1045" spans="1:10" x14ac:dyDescent="0.25">
      <c r="A1045" s="34" t="s">
        <v>164</v>
      </c>
      <c r="B1045" s="34" t="s">
        <v>165</v>
      </c>
      <c r="C1045" t="s">
        <v>260</v>
      </c>
      <c r="D1045" t="s">
        <v>184</v>
      </c>
      <c r="E1045" t="s">
        <v>214</v>
      </c>
      <c r="F1045" t="s">
        <v>183</v>
      </c>
      <c r="G1045" t="s">
        <v>169</v>
      </c>
      <c r="H1045">
        <v>568</v>
      </c>
      <c r="I1045" s="34">
        <f>+POWER_Regional_Daily_20150101_20190305_c11b3312[[#This Row],[Column8]]/100</f>
        <v>5.68</v>
      </c>
      <c r="J1045" s="34"/>
    </row>
    <row r="1046" spans="1:10" x14ac:dyDescent="0.25">
      <c r="A1046" s="34" t="s">
        <v>164</v>
      </c>
      <c r="B1046" s="34" t="s">
        <v>165</v>
      </c>
      <c r="C1046" t="s">
        <v>260</v>
      </c>
      <c r="D1046" t="s">
        <v>184</v>
      </c>
      <c r="E1046" t="s">
        <v>215</v>
      </c>
      <c r="F1046" t="s">
        <v>256</v>
      </c>
      <c r="G1046" t="s">
        <v>169</v>
      </c>
      <c r="H1046">
        <v>231</v>
      </c>
      <c r="I1046" s="34">
        <f>+POWER_Regional_Daily_20150101_20190305_c11b3312[[#This Row],[Column8]]/100</f>
        <v>2.31</v>
      </c>
      <c r="J1046" s="34"/>
    </row>
    <row r="1047" spans="1:10" x14ac:dyDescent="0.25">
      <c r="A1047" s="34" t="s">
        <v>164</v>
      </c>
      <c r="B1047" s="34" t="s">
        <v>165</v>
      </c>
      <c r="C1047" t="s">
        <v>260</v>
      </c>
      <c r="D1047" t="s">
        <v>184</v>
      </c>
      <c r="E1047" t="s">
        <v>217</v>
      </c>
      <c r="F1047" t="s">
        <v>229</v>
      </c>
      <c r="G1047" t="s">
        <v>169</v>
      </c>
      <c r="H1047">
        <v>350</v>
      </c>
      <c r="I1047" s="34">
        <f>+POWER_Regional_Daily_20150101_20190305_c11b3312[[#This Row],[Column8]]/100</f>
        <v>3.5</v>
      </c>
      <c r="J1047" s="34"/>
    </row>
    <row r="1048" spans="1:10" x14ac:dyDescent="0.25">
      <c r="A1048" s="34" t="s">
        <v>164</v>
      </c>
      <c r="B1048" s="34" t="s">
        <v>165</v>
      </c>
      <c r="C1048" t="s">
        <v>260</v>
      </c>
      <c r="D1048" t="s">
        <v>184</v>
      </c>
      <c r="E1048" t="s">
        <v>219</v>
      </c>
      <c r="F1048" t="s">
        <v>204</v>
      </c>
      <c r="G1048" t="s">
        <v>169</v>
      </c>
      <c r="H1048">
        <v>420</v>
      </c>
      <c r="I1048" s="34">
        <f>+POWER_Regional_Daily_20150101_20190305_c11b3312[[#This Row],[Column8]]/100</f>
        <v>4.2</v>
      </c>
      <c r="J1048" s="34"/>
    </row>
    <row r="1049" spans="1:10" x14ac:dyDescent="0.25">
      <c r="A1049" s="34" t="s">
        <v>164</v>
      </c>
      <c r="B1049" s="34" t="s">
        <v>165</v>
      </c>
      <c r="C1049" t="s">
        <v>260</v>
      </c>
      <c r="D1049" t="s">
        <v>184</v>
      </c>
      <c r="E1049" t="s">
        <v>220</v>
      </c>
      <c r="F1049" t="s">
        <v>187</v>
      </c>
      <c r="G1049" t="s">
        <v>169</v>
      </c>
      <c r="H1049">
        <v>-999</v>
      </c>
      <c r="I1049" s="34">
        <f>+POWER_Regional_Daily_20150101_20190305_c11b3312[[#This Row],[Column8]]/100</f>
        <v>-9.99</v>
      </c>
      <c r="J1049" s="34"/>
    </row>
    <row r="1050" spans="1:10" x14ac:dyDescent="0.25">
      <c r="A1050" s="34" t="s">
        <v>164</v>
      </c>
      <c r="B1050" s="34" t="s">
        <v>165</v>
      </c>
      <c r="C1050" t="s">
        <v>260</v>
      </c>
      <c r="D1050" t="s">
        <v>186</v>
      </c>
      <c r="E1050" t="s">
        <v>167</v>
      </c>
      <c r="F1050" t="s">
        <v>183</v>
      </c>
      <c r="G1050" t="s">
        <v>169</v>
      </c>
      <c r="H1050">
        <v>559</v>
      </c>
      <c r="I1050" s="34">
        <f>+POWER_Regional_Daily_20150101_20190305_c11b3312[[#This Row],[Column8]]/100</f>
        <v>5.59</v>
      </c>
      <c r="J1050" s="34"/>
    </row>
    <row r="1051" spans="1:10" x14ac:dyDescent="0.25">
      <c r="A1051" s="34" t="s">
        <v>164</v>
      </c>
      <c r="B1051" s="34" t="s">
        <v>165</v>
      </c>
      <c r="C1051" t="s">
        <v>260</v>
      </c>
      <c r="D1051" t="s">
        <v>186</v>
      </c>
      <c r="E1051" t="s">
        <v>170</v>
      </c>
      <c r="F1051" t="s">
        <v>209</v>
      </c>
      <c r="G1051" t="s">
        <v>169</v>
      </c>
      <c r="H1051">
        <v>500</v>
      </c>
      <c r="I1051" s="34">
        <f>+POWER_Regional_Daily_20150101_20190305_c11b3312[[#This Row],[Column8]]/100</f>
        <v>5</v>
      </c>
      <c r="J1051" s="34"/>
    </row>
    <row r="1052" spans="1:10" x14ac:dyDescent="0.25">
      <c r="A1052" s="34" t="s">
        <v>164</v>
      </c>
      <c r="B1052" s="34" t="s">
        <v>165</v>
      </c>
      <c r="C1052" t="s">
        <v>260</v>
      </c>
      <c r="D1052" t="s">
        <v>186</v>
      </c>
      <c r="E1052" t="s">
        <v>172</v>
      </c>
      <c r="F1052" t="s">
        <v>201</v>
      </c>
      <c r="G1052" t="s">
        <v>169</v>
      </c>
      <c r="H1052">
        <v>514</v>
      </c>
      <c r="I1052" s="34">
        <f>+POWER_Regional_Daily_20150101_20190305_c11b3312[[#This Row],[Column8]]/100</f>
        <v>5.14</v>
      </c>
      <c r="J1052" s="34"/>
    </row>
    <row r="1053" spans="1:10" x14ac:dyDescent="0.25">
      <c r="A1053" s="34" t="s">
        <v>164</v>
      </c>
      <c r="B1053" s="34" t="s">
        <v>165</v>
      </c>
      <c r="C1053" t="s">
        <v>260</v>
      </c>
      <c r="D1053" t="s">
        <v>186</v>
      </c>
      <c r="E1053" t="s">
        <v>174</v>
      </c>
      <c r="F1053" t="s">
        <v>246</v>
      </c>
      <c r="G1053" t="s">
        <v>169</v>
      </c>
      <c r="H1053">
        <v>375</v>
      </c>
      <c r="I1053" s="34">
        <f>+POWER_Regional_Daily_20150101_20190305_c11b3312[[#This Row],[Column8]]/100</f>
        <v>3.75</v>
      </c>
      <c r="J1053" s="34"/>
    </row>
    <row r="1054" spans="1:10" x14ac:dyDescent="0.25">
      <c r="A1054" s="34" t="s">
        <v>164</v>
      </c>
      <c r="B1054" s="34" t="s">
        <v>165</v>
      </c>
      <c r="C1054" t="s">
        <v>260</v>
      </c>
      <c r="D1054" t="s">
        <v>186</v>
      </c>
      <c r="E1054" t="s">
        <v>175</v>
      </c>
      <c r="F1054" t="s">
        <v>231</v>
      </c>
      <c r="G1054" t="s">
        <v>169</v>
      </c>
      <c r="H1054">
        <v>468</v>
      </c>
      <c r="I1054" s="34">
        <f>+POWER_Regional_Daily_20150101_20190305_c11b3312[[#This Row],[Column8]]/100</f>
        <v>4.68</v>
      </c>
      <c r="J1054" s="34"/>
    </row>
    <row r="1055" spans="1:10" x14ac:dyDescent="0.25">
      <c r="A1055" s="34" t="s">
        <v>164</v>
      </c>
      <c r="B1055" s="34" t="s">
        <v>165</v>
      </c>
      <c r="C1055" t="s">
        <v>260</v>
      </c>
      <c r="D1055" t="s">
        <v>186</v>
      </c>
      <c r="E1055" t="s">
        <v>177</v>
      </c>
      <c r="F1055" t="s">
        <v>189</v>
      </c>
      <c r="G1055" t="s">
        <v>169</v>
      </c>
      <c r="H1055">
        <v>574</v>
      </c>
      <c r="I1055" s="34">
        <f>+POWER_Regional_Daily_20150101_20190305_c11b3312[[#This Row],[Column8]]/100</f>
        <v>5.74</v>
      </c>
      <c r="J1055" s="34"/>
    </row>
    <row r="1056" spans="1:10" x14ac:dyDescent="0.25">
      <c r="A1056" s="34" t="s">
        <v>164</v>
      </c>
      <c r="B1056" s="34" t="s">
        <v>165</v>
      </c>
      <c r="C1056" t="s">
        <v>260</v>
      </c>
      <c r="D1056" t="s">
        <v>186</v>
      </c>
      <c r="E1056" t="s">
        <v>178</v>
      </c>
      <c r="F1056" t="s">
        <v>236</v>
      </c>
      <c r="G1056" t="s">
        <v>169</v>
      </c>
      <c r="H1056">
        <v>500</v>
      </c>
      <c r="I1056" s="34">
        <f>+POWER_Regional_Daily_20150101_20190305_c11b3312[[#This Row],[Column8]]/100</f>
        <v>5</v>
      </c>
      <c r="J1056" s="34"/>
    </row>
    <row r="1057" spans="1:10" x14ac:dyDescent="0.25">
      <c r="A1057" s="34" t="s">
        <v>164</v>
      </c>
      <c r="B1057" s="34" t="s">
        <v>165</v>
      </c>
      <c r="C1057" t="s">
        <v>260</v>
      </c>
      <c r="D1057" t="s">
        <v>186</v>
      </c>
      <c r="E1057" t="s">
        <v>180</v>
      </c>
      <c r="F1057" t="s">
        <v>239</v>
      </c>
      <c r="G1057" t="s">
        <v>169</v>
      </c>
      <c r="H1057">
        <v>350</v>
      </c>
      <c r="I1057" s="34">
        <f>+POWER_Regional_Daily_20150101_20190305_c11b3312[[#This Row],[Column8]]/100</f>
        <v>3.5</v>
      </c>
      <c r="J1057" s="34"/>
    </row>
    <row r="1058" spans="1:10" x14ac:dyDescent="0.25">
      <c r="A1058" s="34" t="s">
        <v>164</v>
      </c>
      <c r="B1058" s="34" t="s">
        <v>165</v>
      </c>
      <c r="C1058" t="s">
        <v>260</v>
      </c>
      <c r="D1058" t="s">
        <v>186</v>
      </c>
      <c r="E1058" t="s">
        <v>182</v>
      </c>
      <c r="F1058" t="s">
        <v>239</v>
      </c>
      <c r="G1058" t="s">
        <v>169</v>
      </c>
      <c r="H1058">
        <v>348</v>
      </c>
      <c r="I1058" s="34">
        <f>+POWER_Regional_Daily_20150101_20190305_c11b3312[[#This Row],[Column8]]/100</f>
        <v>3.48</v>
      </c>
      <c r="J1058" s="34"/>
    </row>
    <row r="1059" spans="1:10" x14ac:dyDescent="0.25">
      <c r="A1059" s="34" t="s">
        <v>164</v>
      </c>
      <c r="B1059" s="34" t="s">
        <v>165</v>
      </c>
      <c r="C1059" t="s">
        <v>260</v>
      </c>
      <c r="D1059" t="s">
        <v>186</v>
      </c>
      <c r="E1059" t="s">
        <v>184</v>
      </c>
      <c r="F1059" t="s">
        <v>195</v>
      </c>
      <c r="G1059" t="s">
        <v>169</v>
      </c>
      <c r="H1059">
        <v>448</v>
      </c>
      <c r="I1059" s="34">
        <f>+POWER_Regional_Daily_20150101_20190305_c11b3312[[#This Row],[Column8]]/100</f>
        <v>4.4800000000000004</v>
      </c>
      <c r="J1059" s="34"/>
    </row>
    <row r="1060" spans="1:10" x14ac:dyDescent="0.25">
      <c r="A1060" s="34" t="s">
        <v>164</v>
      </c>
      <c r="B1060" s="34" t="s">
        <v>165</v>
      </c>
      <c r="C1060" t="s">
        <v>260</v>
      </c>
      <c r="D1060" t="s">
        <v>186</v>
      </c>
      <c r="E1060" t="s">
        <v>186</v>
      </c>
      <c r="F1060" t="s">
        <v>233</v>
      </c>
      <c r="G1060" t="s">
        <v>169</v>
      </c>
      <c r="H1060">
        <v>441</v>
      </c>
      <c r="I1060" s="34">
        <f>+POWER_Regional_Daily_20150101_20190305_c11b3312[[#This Row],[Column8]]/100</f>
        <v>4.41</v>
      </c>
      <c r="J1060" s="34"/>
    </row>
    <row r="1061" spans="1:10" x14ac:dyDescent="0.25">
      <c r="A1061" s="34" t="s">
        <v>164</v>
      </c>
      <c r="B1061" s="34" t="s">
        <v>165</v>
      </c>
      <c r="C1061" t="s">
        <v>260</v>
      </c>
      <c r="D1061" t="s">
        <v>186</v>
      </c>
      <c r="E1061" t="s">
        <v>188</v>
      </c>
      <c r="F1061" t="s">
        <v>218</v>
      </c>
      <c r="G1061" t="s">
        <v>169</v>
      </c>
      <c r="H1061">
        <v>557</v>
      </c>
      <c r="I1061" s="34">
        <f>+POWER_Regional_Daily_20150101_20190305_c11b3312[[#This Row],[Column8]]/100</f>
        <v>5.57</v>
      </c>
      <c r="J1061" s="34"/>
    </row>
    <row r="1062" spans="1:10" x14ac:dyDescent="0.25">
      <c r="A1062" s="34" t="s">
        <v>164</v>
      </c>
      <c r="B1062" s="34" t="s">
        <v>165</v>
      </c>
      <c r="C1062" t="s">
        <v>260</v>
      </c>
      <c r="D1062" t="s">
        <v>186</v>
      </c>
      <c r="E1062" t="s">
        <v>190</v>
      </c>
      <c r="F1062" t="s">
        <v>242</v>
      </c>
      <c r="G1062" t="s">
        <v>169</v>
      </c>
      <c r="H1062">
        <v>238</v>
      </c>
      <c r="I1062" s="34">
        <f>+POWER_Regional_Daily_20150101_20190305_c11b3312[[#This Row],[Column8]]/100</f>
        <v>2.38</v>
      </c>
      <c r="J1062" s="34"/>
    </row>
    <row r="1063" spans="1:10" x14ac:dyDescent="0.25">
      <c r="A1063" s="34" t="s">
        <v>164</v>
      </c>
      <c r="B1063" s="34" t="s">
        <v>165</v>
      </c>
      <c r="C1063" t="s">
        <v>260</v>
      </c>
      <c r="D1063" t="s">
        <v>186</v>
      </c>
      <c r="E1063" t="s">
        <v>192</v>
      </c>
      <c r="F1063" t="s">
        <v>191</v>
      </c>
      <c r="G1063" t="s">
        <v>169</v>
      </c>
      <c r="H1063">
        <v>330</v>
      </c>
      <c r="I1063" s="34">
        <f>+POWER_Regional_Daily_20150101_20190305_c11b3312[[#This Row],[Column8]]/100</f>
        <v>3.3</v>
      </c>
      <c r="J1063" s="34"/>
    </row>
    <row r="1064" spans="1:10" x14ac:dyDescent="0.25">
      <c r="A1064" s="34" t="s">
        <v>164</v>
      </c>
      <c r="B1064" s="34" t="s">
        <v>165</v>
      </c>
      <c r="C1064" t="s">
        <v>260</v>
      </c>
      <c r="D1064" t="s">
        <v>186</v>
      </c>
      <c r="E1064" t="s">
        <v>194</v>
      </c>
      <c r="F1064" t="s">
        <v>246</v>
      </c>
      <c r="G1064" t="s">
        <v>169</v>
      </c>
      <c r="H1064">
        <v>365</v>
      </c>
      <c r="I1064" s="34">
        <f>+POWER_Regional_Daily_20150101_20190305_c11b3312[[#This Row],[Column8]]/100</f>
        <v>3.65</v>
      </c>
      <c r="J1064" s="34"/>
    </row>
    <row r="1065" spans="1:10" x14ac:dyDescent="0.25">
      <c r="A1065" s="34" t="s">
        <v>164</v>
      </c>
      <c r="B1065" s="34" t="s">
        <v>165</v>
      </c>
      <c r="C1065" t="s">
        <v>260</v>
      </c>
      <c r="D1065" t="s">
        <v>186</v>
      </c>
      <c r="E1065" t="s">
        <v>196</v>
      </c>
      <c r="F1065" t="s">
        <v>187</v>
      </c>
      <c r="G1065" t="s">
        <v>169</v>
      </c>
      <c r="H1065">
        <v>-999</v>
      </c>
      <c r="I1065" s="34">
        <f>+POWER_Regional_Daily_20150101_20190305_c11b3312[[#This Row],[Column8]]/100</f>
        <v>-9.99</v>
      </c>
      <c r="J1065" s="34"/>
    </row>
    <row r="1066" spans="1:10" x14ac:dyDescent="0.25">
      <c r="A1066" s="34" t="s">
        <v>164</v>
      </c>
      <c r="B1066" s="34" t="s">
        <v>165</v>
      </c>
      <c r="C1066" t="s">
        <v>260</v>
      </c>
      <c r="D1066" t="s">
        <v>186</v>
      </c>
      <c r="E1066" t="s">
        <v>198</v>
      </c>
      <c r="F1066" t="s">
        <v>231</v>
      </c>
      <c r="G1066" t="s">
        <v>169</v>
      </c>
      <c r="H1066">
        <v>460</v>
      </c>
      <c r="I1066" s="34">
        <f>+POWER_Regional_Daily_20150101_20190305_c11b3312[[#This Row],[Column8]]/100</f>
        <v>4.5999999999999996</v>
      </c>
      <c r="J1066" s="34"/>
    </row>
    <row r="1067" spans="1:10" x14ac:dyDescent="0.25">
      <c r="A1067" s="34" t="s">
        <v>164</v>
      </c>
      <c r="B1067" s="34" t="s">
        <v>165</v>
      </c>
      <c r="C1067" t="s">
        <v>260</v>
      </c>
      <c r="D1067" t="s">
        <v>186</v>
      </c>
      <c r="E1067" t="s">
        <v>199</v>
      </c>
      <c r="F1067" t="s">
        <v>231</v>
      </c>
      <c r="G1067" t="s">
        <v>169</v>
      </c>
      <c r="H1067">
        <v>459</v>
      </c>
      <c r="I1067" s="34">
        <f>+POWER_Regional_Daily_20150101_20190305_c11b3312[[#This Row],[Column8]]/100</f>
        <v>4.59</v>
      </c>
      <c r="J1067" s="34"/>
    </row>
    <row r="1068" spans="1:10" x14ac:dyDescent="0.25">
      <c r="A1068" s="34" t="s">
        <v>164</v>
      </c>
      <c r="B1068" s="34" t="s">
        <v>165</v>
      </c>
      <c r="C1068" t="s">
        <v>260</v>
      </c>
      <c r="D1068" t="s">
        <v>186</v>
      </c>
      <c r="E1068" t="s">
        <v>200</v>
      </c>
      <c r="F1068" t="s">
        <v>206</v>
      </c>
      <c r="G1068" t="s">
        <v>169</v>
      </c>
      <c r="H1068">
        <v>371</v>
      </c>
      <c r="I1068" s="34">
        <f>+POWER_Regional_Daily_20150101_20190305_c11b3312[[#This Row],[Column8]]/100</f>
        <v>3.71</v>
      </c>
      <c r="J1068" s="34"/>
    </row>
    <row r="1069" spans="1:10" x14ac:dyDescent="0.25">
      <c r="A1069" s="34" t="s">
        <v>164</v>
      </c>
      <c r="B1069" s="34" t="s">
        <v>165</v>
      </c>
      <c r="C1069" t="s">
        <v>260</v>
      </c>
      <c r="D1069" t="s">
        <v>186</v>
      </c>
      <c r="E1069" t="s">
        <v>202</v>
      </c>
      <c r="F1069" t="s">
        <v>221</v>
      </c>
      <c r="G1069" t="s">
        <v>169</v>
      </c>
      <c r="H1069">
        <v>390</v>
      </c>
      <c r="I1069" s="34">
        <f>+POWER_Regional_Daily_20150101_20190305_c11b3312[[#This Row],[Column8]]/100</f>
        <v>3.9</v>
      </c>
      <c r="J1069" s="34"/>
    </row>
    <row r="1070" spans="1:10" x14ac:dyDescent="0.25">
      <c r="A1070" s="34" t="s">
        <v>164</v>
      </c>
      <c r="B1070" s="34" t="s">
        <v>165</v>
      </c>
      <c r="C1070" t="s">
        <v>260</v>
      </c>
      <c r="D1070" t="s">
        <v>186</v>
      </c>
      <c r="E1070" t="s">
        <v>203</v>
      </c>
      <c r="F1070" t="s">
        <v>223</v>
      </c>
      <c r="G1070" t="s">
        <v>169</v>
      </c>
      <c r="H1070">
        <v>460</v>
      </c>
      <c r="I1070" s="34">
        <f>+POWER_Regional_Daily_20150101_20190305_c11b3312[[#This Row],[Column8]]/100</f>
        <v>4.5999999999999996</v>
      </c>
      <c r="J1070" s="34"/>
    </row>
    <row r="1071" spans="1:10" x14ac:dyDescent="0.25">
      <c r="A1071" s="34" t="s">
        <v>164</v>
      </c>
      <c r="B1071" s="34" t="s">
        <v>165</v>
      </c>
      <c r="C1071" t="s">
        <v>260</v>
      </c>
      <c r="D1071" t="s">
        <v>186</v>
      </c>
      <c r="E1071" t="s">
        <v>205</v>
      </c>
      <c r="F1071" t="s">
        <v>222</v>
      </c>
      <c r="G1071" t="s">
        <v>169</v>
      </c>
      <c r="H1071">
        <v>510</v>
      </c>
      <c r="I1071" s="34">
        <f>+POWER_Regional_Daily_20150101_20190305_c11b3312[[#This Row],[Column8]]/100</f>
        <v>5.0999999999999996</v>
      </c>
      <c r="J1071" s="34"/>
    </row>
    <row r="1072" spans="1:10" x14ac:dyDescent="0.25">
      <c r="A1072" s="34" t="s">
        <v>164</v>
      </c>
      <c r="B1072" s="34" t="s">
        <v>165</v>
      </c>
      <c r="C1072" t="s">
        <v>260</v>
      </c>
      <c r="D1072" t="s">
        <v>186</v>
      </c>
      <c r="E1072" t="s">
        <v>207</v>
      </c>
      <c r="F1072" t="s">
        <v>236</v>
      </c>
      <c r="G1072" t="s">
        <v>169</v>
      </c>
      <c r="H1072">
        <v>492</v>
      </c>
      <c r="I1072" s="34">
        <f>+POWER_Regional_Daily_20150101_20190305_c11b3312[[#This Row],[Column8]]/100</f>
        <v>4.92</v>
      </c>
      <c r="J1072" s="34"/>
    </row>
    <row r="1073" spans="1:10" x14ac:dyDescent="0.25">
      <c r="A1073" s="34" t="s">
        <v>164</v>
      </c>
      <c r="B1073" s="34" t="s">
        <v>165</v>
      </c>
      <c r="C1073" t="s">
        <v>260</v>
      </c>
      <c r="D1073" t="s">
        <v>186</v>
      </c>
      <c r="E1073" t="s">
        <v>208</v>
      </c>
      <c r="F1073" t="s">
        <v>224</v>
      </c>
      <c r="G1073" t="s">
        <v>169</v>
      </c>
      <c r="H1073">
        <v>420</v>
      </c>
      <c r="I1073" s="34">
        <f>+POWER_Regional_Daily_20150101_20190305_c11b3312[[#This Row],[Column8]]/100</f>
        <v>4.2</v>
      </c>
      <c r="J1073" s="34"/>
    </row>
    <row r="1074" spans="1:10" x14ac:dyDescent="0.25">
      <c r="A1074" s="34" t="s">
        <v>164</v>
      </c>
      <c r="B1074" s="34" t="s">
        <v>165</v>
      </c>
      <c r="C1074" t="s">
        <v>260</v>
      </c>
      <c r="D1074" t="s">
        <v>186</v>
      </c>
      <c r="E1074" t="s">
        <v>210</v>
      </c>
      <c r="F1074" t="s">
        <v>233</v>
      </c>
      <c r="G1074" t="s">
        <v>169</v>
      </c>
      <c r="H1074">
        <v>429</v>
      </c>
      <c r="I1074" s="34">
        <f>+POWER_Regional_Daily_20150101_20190305_c11b3312[[#This Row],[Column8]]/100</f>
        <v>4.29</v>
      </c>
      <c r="J1074" s="34"/>
    </row>
    <row r="1075" spans="1:10" x14ac:dyDescent="0.25">
      <c r="A1075" s="34" t="s">
        <v>164</v>
      </c>
      <c r="B1075" s="34" t="s">
        <v>165</v>
      </c>
      <c r="C1075" t="s">
        <v>260</v>
      </c>
      <c r="D1075" t="s">
        <v>186</v>
      </c>
      <c r="E1075" t="s">
        <v>212</v>
      </c>
      <c r="F1075" t="s">
        <v>213</v>
      </c>
      <c r="G1075" t="s">
        <v>169</v>
      </c>
      <c r="H1075">
        <v>516</v>
      </c>
      <c r="I1075" s="34">
        <f>+POWER_Regional_Daily_20150101_20190305_c11b3312[[#This Row],[Column8]]/100</f>
        <v>5.16</v>
      </c>
      <c r="J1075" s="34"/>
    </row>
    <row r="1076" spans="1:10" x14ac:dyDescent="0.25">
      <c r="A1076" s="34" t="s">
        <v>164</v>
      </c>
      <c r="B1076" s="34" t="s">
        <v>165</v>
      </c>
      <c r="C1076" t="s">
        <v>260</v>
      </c>
      <c r="D1076" t="s">
        <v>186</v>
      </c>
      <c r="E1076" t="s">
        <v>214</v>
      </c>
      <c r="F1076" t="s">
        <v>191</v>
      </c>
      <c r="G1076" t="s">
        <v>169</v>
      </c>
      <c r="H1076">
        <v>321</v>
      </c>
      <c r="I1076" s="34">
        <f>+POWER_Regional_Daily_20150101_20190305_c11b3312[[#This Row],[Column8]]/100</f>
        <v>3.21</v>
      </c>
      <c r="J1076" s="34"/>
    </row>
    <row r="1077" spans="1:10" x14ac:dyDescent="0.25">
      <c r="A1077" s="34" t="s">
        <v>164</v>
      </c>
      <c r="B1077" s="34" t="s">
        <v>165</v>
      </c>
      <c r="C1077" t="s">
        <v>260</v>
      </c>
      <c r="D1077" t="s">
        <v>186</v>
      </c>
      <c r="E1077" t="s">
        <v>215</v>
      </c>
      <c r="F1077" t="s">
        <v>209</v>
      </c>
      <c r="G1077" t="s">
        <v>169</v>
      </c>
      <c r="H1077">
        <v>480</v>
      </c>
      <c r="I1077" s="34">
        <f>+POWER_Regional_Daily_20150101_20190305_c11b3312[[#This Row],[Column8]]/100</f>
        <v>4.8</v>
      </c>
      <c r="J1077" s="34"/>
    </row>
    <row r="1078" spans="1:10" x14ac:dyDescent="0.25">
      <c r="A1078" s="34" t="s">
        <v>164</v>
      </c>
      <c r="B1078" s="34" t="s">
        <v>165</v>
      </c>
      <c r="C1078" t="s">
        <v>260</v>
      </c>
      <c r="D1078" t="s">
        <v>186</v>
      </c>
      <c r="E1078" t="s">
        <v>217</v>
      </c>
      <c r="F1078" t="s">
        <v>195</v>
      </c>
      <c r="G1078" t="s">
        <v>169</v>
      </c>
      <c r="H1078">
        <v>440</v>
      </c>
      <c r="I1078" s="34">
        <f>+POWER_Regional_Daily_20150101_20190305_c11b3312[[#This Row],[Column8]]/100</f>
        <v>4.4000000000000004</v>
      </c>
      <c r="J1078" s="34"/>
    </row>
    <row r="1079" spans="1:10" x14ac:dyDescent="0.25">
      <c r="A1079" s="34" t="s">
        <v>164</v>
      </c>
      <c r="B1079" s="34" t="s">
        <v>165</v>
      </c>
      <c r="C1079" t="s">
        <v>260</v>
      </c>
      <c r="D1079" t="s">
        <v>186</v>
      </c>
      <c r="E1079" t="s">
        <v>219</v>
      </c>
      <c r="F1079" t="s">
        <v>229</v>
      </c>
      <c r="G1079" t="s">
        <v>169</v>
      </c>
      <c r="H1079">
        <v>327</v>
      </c>
      <c r="I1079" s="34">
        <f>+POWER_Regional_Daily_20150101_20190305_c11b3312[[#This Row],[Column8]]/100</f>
        <v>3.27</v>
      </c>
      <c r="J1079" s="34"/>
    </row>
    <row r="1080" spans="1:10" x14ac:dyDescent="0.25">
      <c r="A1080" s="34" t="s">
        <v>164</v>
      </c>
      <c r="B1080" s="34" t="s">
        <v>165</v>
      </c>
      <c r="C1080" t="s">
        <v>260</v>
      </c>
      <c r="D1080" t="s">
        <v>188</v>
      </c>
      <c r="E1080" t="s">
        <v>167</v>
      </c>
      <c r="F1080" t="s">
        <v>193</v>
      </c>
      <c r="G1080" t="s">
        <v>169</v>
      </c>
      <c r="H1080">
        <v>373</v>
      </c>
      <c r="I1080" s="34">
        <f>+POWER_Regional_Daily_20150101_20190305_c11b3312[[#This Row],[Column8]]/100</f>
        <v>3.73</v>
      </c>
      <c r="J1080" s="34"/>
    </row>
    <row r="1081" spans="1:10" x14ac:dyDescent="0.25">
      <c r="A1081" s="34" t="s">
        <v>164</v>
      </c>
      <c r="B1081" s="34" t="s">
        <v>165</v>
      </c>
      <c r="C1081" t="s">
        <v>260</v>
      </c>
      <c r="D1081" t="s">
        <v>188</v>
      </c>
      <c r="E1081" t="s">
        <v>170</v>
      </c>
      <c r="F1081" t="s">
        <v>187</v>
      </c>
      <c r="G1081" t="s">
        <v>169</v>
      </c>
      <c r="H1081">
        <v>-999</v>
      </c>
      <c r="I1081" s="34">
        <f>+POWER_Regional_Daily_20150101_20190305_c11b3312[[#This Row],[Column8]]/100</f>
        <v>-9.99</v>
      </c>
      <c r="J1081" s="34"/>
    </row>
    <row r="1082" spans="1:10" x14ac:dyDescent="0.25">
      <c r="A1082" s="34" t="s">
        <v>164</v>
      </c>
      <c r="B1082" s="34" t="s">
        <v>165</v>
      </c>
      <c r="C1082" t="s">
        <v>260</v>
      </c>
      <c r="D1082" t="s">
        <v>188</v>
      </c>
      <c r="E1082" t="s">
        <v>172</v>
      </c>
      <c r="F1082" t="s">
        <v>209</v>
      </c>
      <c r="G1082" t="s">
        <v>169</v>
      </c>
      <c r="H1082">
        <v>474</v>
      </c>
      <c r="I1082" s="34">
        <f>+POWER_Regional_Daily_20150101_20190305_c11b3312[[#This Row],[Column8]]/100</f>
        <v>4.74</v>
      </c>
      <c r="J1082" s="34"/>
    </row>
    <row r="1083" spans="1:10" x14ac:dyDescent="0.25">
      <c r="A1083" s="34" t="s">
        <v>164</v>
      </c>
      <c r="B1083" s="34" t="s">
        <v>165</v>
      </c>
      <c r="C1083" t="s">
        <v>260</v>
      </c>
      <c r="D1083" t="s">
        <v>188</v>
      </c>
      <c r="E1083" t="s">
        <v>174</v>
      </c>
      <c r="F1083" t="s">
        <v>235</v>
      </c>
      <c r="G1083" t="s">
        <v>169</v>
      </c>
      <c r="H1083">
        <v>467</v>
      </c>
      <c r="I1083" s="34">
        <f>+POWER_Regional_Daily_20150101_20190305_c11b3312[[#This Row],[Column8]]/100</f>
        <v>4.67</v>
      </c>
      <c r="J1083" s="34"/>
    </row>
    <row r="1084" spans="1:10" x14ac:dyDescent="0.25">
      <c r="A1084" s="34" t="s">
        <v>164</v>
      </c>
      <c r="B1084" s="34" t="s">
        <v>165</v>
      </c>
      <c r="C1084" t="s">
        <v>260</v>
      </c>
      <c r="D1084" t="s">
        <v>188</v>
      </c>
      <c r="E1084" t="s">
        <v>175</v>
      </c>
      <c r="F1084" t="s">
        <v>185</v>
      </c>
      <c r="G1084" t="s">
        <v>169</v>
      </c>
      <c r="H1084">
        <v>563</v>
      </c>
      <c r="I1084" s="34">
        <f>+POWER_Regional_Daily_20150101_20190305_c11b3312[[#This Row],[Column8]]/100</f>
        <v>5.63</v>
      </c>
      <c r="J1084" s="34"/>
    </row>
    <row r="1085" spans="1:10" x14ac:dyDescent="0.25">
      <c r="A1085" s="34" t="s">
        <v>164</v>
      </c>
      <c r="B1085" s="34" t="s">
        <v>165</v>
      </c>
      <c r="C1085" t="s">
        <v>260</v>
      </c>
      <c r="D1085" t="s">
        <v>188</v>
      </c>
      <c r="E1085" t="s">
        <v>177</v>
      </c>
      <c r="F1085" t="s">
        <v>189</v>
      </c>
      <c r="G1085" t="s">
        <v>169</v>
      </c>
      <c r="H1085">
        <v>546</v>
      </c>
      <c r="I1085" s="34">
        <f>+POWER_Regional_Daily_20150101_20190305_c11b3312[[#This Row],[Column8]]/100</f>
        <v>5.46</v>
      </c>
      <c r="J1085" s="34"/>
    </row>
    <row r="1086" spans="1:10" x14ac:dyDescent="0.25">
      <c r="A1086" s="34" t="s">
        <v>164</v>
      </c>
      <c r="B1086" s="34" t="s">
        <v>165</v>
      </c>
      <c r="C1086" t="s">
        <v>260</v>
      </c>
      <c r="D1086" t="s">
        <v>188</v>
      </c>
      <c r="E1086" t="s">
        <v>178</v>
      </c>
      <c r="F1086" t="s">
        <v>183</v>
      </c>
      <c r="G1086" t="s">
        <v>169</v>
      </c>
      <c r="H1086">
        <v>525</v>
      </c>
      <c r="I1086" s="34">
        <f>+POWER_Regional_Daily_20150101_20190305_c11b3312[[#This Row],[Column8]]/100</f>
        <v>5.25</v>
      </c>
      <c r="J1086" s="34"/>
    </row>
    <row r="1087" spans="1:10" x14ac:dyDescent="0.25">
      <c r="A1087" s="34" t="s">
        <v>164</v>
      </c>
      <c r="B1087" s="34" t="s">
        <v>165</v>
      </c>
      <c r="C1087" t="s">
        <v>260</v>
      </c>
      <c r="D1087" t="s">
        <v>188</v>
      </c>
      <c r="E1087" t="s">
        <v>180</v>
      </c>
      <c r="F1087" t="s">
        <v>211</v>
      </c>
      <c r="G1087" t="s">
        <v>169</v>
      </c>
      <c r="H1087">
        <v>387</v>
      </c>
      <c r="I1087" s="34">
        <f>+POWER_Regional_Daily_20150101_20190305_c11b3312[[#This Row],[Column8]]/100</f>
        <v>3.87</v>
      </c>
      <c r="J1087" s="34"/>
    </row>
    <row r="1088" spans="1:10" x14ac:dyDescent="0.25">
      <c r="A1088" s="34" t="s">
        <v>164</v>
      </c>
      <c r="B1088" s="34" t="s">
        <v>165</v>
      </c>
      <c r="C1088" t="s">
        <v>260</v>
      </c>
      <c r="D1088" t="s">
        <v>188</v>
      </c>
      <c r="E1088" t="s">
        <v>182</v>
      </c>
      <c r="F1088" t="s">
        <v>181</v>
      </c>
      <c r="G1088" t="s">
        <v>169</v>
      </c>
      <c r="H1088">
        <v>520</v>
      </c>
      <c r="I1088" s="34">
        <f>+POWER_Regional_Daily_20150101_20190305_c11b3312[[#This Row],[Column8]]/100</f>
        <v>5.2</v>
      </c>
      <c r="J1088" s="34"/>
    </row>
    <row r="1089" spans="1:10" x14ac:dyDescent="0.25">
      <c r="A1089" s="34" t="s">
        <v>164</v>
      </c>
      <c r="B1089" s="34" t="s">
        <v>165</v>
      </c>
      <c r="C1089" t="s">
        <v>260</v>
      </c>
      <c r="D1089" t="s">
        <v>188</v>
      </c>
      <c r="E1089" t="s">
        <v>184</v>
      </c>
      <c r="F1089" t="s">
        <v>233</v>
      </c>
      <c r="G1089" t="s">
        <v>169</v>
      </c>
      <c r="H1089">
        <v>423</v>
      </c>
      <c r="I1089" s="34">
        <f>+POWER_Regional_Daily_20150101_20190305_c11b3312[[#This Row],[Column8]]/100</f>
        <v>4.2300000000000004</v>
      </c>
      <c r="J1089" s="34"/>
    </row>
    <row r="1090" spans="1:10" x14ac:dyDescent="0.25">
      <c r="A1090" s="34" t="s">
        <v>164</v>
      </c>
      <c r="B1090" s="34" t="s">
        <v>165</v>
      </c>
      <c r="C1090" t="s">
        <v>260</v>
      </c>
      <c r="D1090" t="s">
        <v>188</v>
      </c>
      <c r="E1090" t="s">
        <v>186</v>
      </c>
      <c r="F1090" t="s">
        <v>191</v>
      </c>
      <c r="G1090" t="s">
        <v>169</v>
      </c>
      <c r="H1090">
        <v>316</v>
      </c>
      <c r="I1090" s="34">
        <f>+POWER_Regional_Daily_20150101_20190305_c11b3312[[#This Row],[Column8]]/100</f>
        <v>3.16</v>
      </c>
      <c r="J1090" s="34"/>
    </row>
    <row r="1091" spans="1:10" x14ac:dyDescent="0.25">
      <c r="A1091" s="34" t="s">
        <v>164</v>
      </c>
      <c r="B1091" s="34" t="s">
        <v>165</v>
      </c>
      <c r="C1091" t="s">
        <v>260</v>
      </c>
      <c r="D1091" t="s">
        <v>188</v>
      </c>
      <c r="E1091" t="s">
        <v>188</v>
      </c>
      <c r="F1091" t="s">
        <v>239</v>
      </c>
      <c r="G1091" t="s">
        <v>169</v>
      </c>
      <c r="H1091">
        <v>329</v>
      </c>
      <c r="I1091" s="34">
        <f>+POWER_Regional_Daily_20150101_20190305_c11b3312[[#This Row],[Column8]]/100</f>
        <v>3.29</v>
      </c>
      <c r="J1091" s="34"/>
    </row>
    <row r="1092" spans="1:10" x14ac:dyDescent="0.25">
      <c r="A1092" s="34" t="s">
        <v>164</v>
      </c>
      <c r="B1092" s="34" t="s">
        <v>165</v>
      </c>
      <c r="C1092" t="s">
        <v>260</v>
      </c>
      <c r="D1092" t="s">
        <v>188</v>
      </c>
      <c r="E1092" t="s">
        <v>190</v>
      </c>
      <c r="F1092" t="s">
        <v>183</v>
      </c>
      <c r="G1092" t="s">
        <v>169</v>
      </c>
      <c r="H1092">
        <v>526</v>
      </c>
      <c r="I1092" s="34">
        <f>+POWER_Regional_Daily_20150101_20190305_c11b3312[[#This Row],[Column8]]/100</f>
        <v>5.26</v>
      </c>
      <c r="J1092" s="34"/>
    </row>
    <row r="1093" spans="1:10" x14ac:dyDescent="0.25">
      <c r="A1093" s="34" t="s">
        <v>164</v>
      </c>
      <c r="B1093" s="34" t="s">
        <v>165</v>
      </c>
      <c r="C1093" t="s">
        <v>260</v>
      </c>
      <c r="D1093" t="s">
        <v>188</v>
      </c>
      <c r="E1093" t="s">
        <v>192</v>
      </c>
      <c r="F1093" t="s">
        <v>218</v>
      </c>
      <c r="G1093" t="s">
        <v>169</v>
      </c>
      <c r="H1093">
        <v>537</v>
      </c>
      <c r="I1093" s="34">
        <f>+POWER_Regional_Daily_20150101_20190305_c11b3312[[#This Row],[Column8]]/100</f>
        <v>5.37</v>
      </c>
      <c r="J1093" s="34"/>
    </row>
    <row r="1094" spans="1:10" x14ac:dyDescent="0.25">
      <c r="A1094" s="34" t="s">
        <v>164</v>
      </c>
      <c r="B1094" s="34" t="s">
        <v>165</v>
      </c>
      <c r="C1094" t="s">
        <v>260</v>
      </c>
      <c r="D1094" t="s">
        <v>188</v>
      </c>
      <c r="E1094" t="s">
        <v>194</v>
      </c>
      <c r="F1094" t="s">
        <v>181</v>
      </c>
      <c r="G1094" t="s">
        <v>169</v>
      </c>
      <c r="H1094">
        <v>516</v>
      </c>
      <c r="I1094" s="34">
        <f>+POWER_Regional_Daily_20150101_20190305_c11b3312[[#This Row],[Column8]]/100</f>
        <v>5.16</v>
      </c>
      <c r="J1094" s="34"/>
    </row>
    <row r="1095" spans="1:10" x14ac:dyDescent="0.25">
      <c r="A1095" s="34" t="s">
        <v>164</v>
      </c>
      <c r="B1095" s="34" t="s">
        <v>165</v>
      </c>
      <c r="C1095" t="s">
        <v>260</v>
      </c>
      <c r="D1095" t="s">
        <v>188</v>
      </c>
      <c r="E1095" t="s">
        <v>196</v>
      </c>
      <c r="F1095" t="s">
        <v>213</v>
      </c>
      <c r="G1095" t="s">
        <v>169</v>
      </c>
      <c r="H1095">
        <v>506</v>
      </c>
      <c r="I1095" s="34">
        <f>+POWER_Regional_Daily_20150101_20190305_c11b3312[[#This Row],[Column8]]/100</f>
        <v>5.0599999999999996</v>
      </c>
      <c r="J1095" s="34"/>
    </row>
    <row r="1096" spans="1:10" x14ac:dyDescent="0.25">
      <c r="A1096" s="34" t="s">
        <v>164</v>
      </c>
      <c r="B1096" s="34" t="s">
        <v>165</v>
      </c>
      <c r="C1096" t="s">
        <v>260</v>
      </c>
      <c r="D1096" t="s">
        <v>188</v>
      </c>
      <c r="E1096" t="s">
        <v>198</v>
      </c>
      <c r="F1096" t="s">
        <v>168</v>
      </c>
      <c r="G1096" t="s">
        <v>169</v>
      </c>
      <c r="H1096">
        <v>566</v>
      </c>
      <c r="I1096" s="34">
        <f>+POWER_Regional_Daily_20150101_20190305_c11b3312[[#This Row],[Column8]]/100</f>
        <v>5.66</v>
      </c>
      <c r="J1096" s="34"/>
    </row>
    <row r="1097" spans="1:10" x14ac:dyDescent="0.25">
      <c r="A1097" s="34" t="s">
        <v>164</v>
      </c>
      <c r="B1097" s="34" t="s">
        <v>165</v>
      </c>
      <c r="C1097" t="s">
        <v>260</v>
      </c>
      <c r="D1097" t="s">
        <v>188</v>
      </c>
      <c r="E1097" t="s">
        <v>199</v>
      </c>
      <c r="F1097" t="s">
        <v>187</v>
      </c>
      <c r="G1097" t="s">
        <v>169</v>
      </c>
      <c r="H1097">
        <v>-999</v>
      </c>
      <c r="I1097" s="34">
        <f>+POWER_Regional_Daily_20150101_20190305_c11b3312[[#This Row],[Column8]]/100</f>
        <v>-9.99</v>
      </c>
      <c r="J1097" s="34"/>
    </row>
    <row r="1098" spans="1:10" x14ac:dyDescent="0.25">
      <c r="A1098" s="34" t="s">
        <v>164</v>
      </c>
      <c r="B1098" s="34" t="s">
        <v>165</v>
      </c>
      <c r="C1098" t="s">
        <v>260</v>
      </c>
      <c r="D1098" t="s">
        <v>188</v>
      </c>
      <c r="E1098" t="s">
        <v>200</v>
      </c>
      <c r="F1098" t="s">
        <v>250</v>
      </c>
      <c r="G1098" t="s">
        <v>169</v>
      </c>
      <c r="H1098">
        <v>584</v>
      </c>
      <c r="I1098" s="34">
        <f>+POWER_Regional_Daily_20150101_20190305_c11b3312[[#This Row],[Column8]]/100</f>
        <v>5.84</v>
      </c>
      <c r="J1098" s="34"/>
    </row>
    <row r="1099" spans="1:10" x14ac:dyDescent="0.25">
      <c r="A1099" s="34" t="s">
        <v>164</v>
      </c>
      <c r="B1099" s="34" t="s">
        <v>165</v>
      </c>
      <c r="C1099" t="s">
        <v>260</v>
      </c>
      <c r="D1099" t="s">
        <v>188</v>
      </c>
      <c r="E1099" t="s">
        <v>202</v>
      </c>
      <c r="F1099" t="s">
        <v>250</v>
      </c>
      <c r="G1099" t="s">
        <v>169</v>
      </c>
      <c r="H1099">
        <v>590</v>
      </c>
      <c r="I1099" s="34">
        <f>+POWER_Regional_Daily_20150101_20190305_c11b3312[[#This Row],[Column8]]/100</f>
        <v>5.9</v>
      </c>
      <c r="J1099" s="34"/>
    </row>
    <row r="1100" spans="1:10" x14ac:dyDescent="0.25">
      <c r="A1100" s="34" t="s">
        <v>164</v>
      </c>
      <c r="B1100" s="34" t="s">
        <v>165</v>
      </c>
      <c r="C1100" t="s">
        <v>260</v>
      </c>
      <c r="D1100" t="s">
        <v>188</v>
      </c>
      <c r="E1100" t="s">
        <v>203</v>
      </c>
      <c r="F1100" t="s">
        <v>181</v>
      </c>
      <c r="G1100" t="s">
        <v>169</v>
      </c>
      <c r="H1100">
        <v>519</v>
      </c>
      <c r="I1100" s="34">
        <f>+POWER_Regional_Daily_20150101_20190305_c11b3312[[#This Row],[Column8]]/100</f>
        <v>5.19</v>
      </c>
      <c r="J1100" s="34"/>
    </row>
    <row r="1101" spans="1:10" x14ac:dyDescent="0.25">
      <c r="A1101" s="34" t="s">
        <v>164</v>
      </c>
      <c r="B1101" s="34" t="s">
        <v>165</v>
      </c>
      <c r="C1101" t="s">
        <v>260</v>
      </c>
      <c r="D1101" t="s">
        <v>188</v>
      </c>
      <c r="E1101" t="s">
        <v>205</v>
      </c>
      <c r="F1101" t="s">
        <v>201</v>
      </c>
      <c r="G1101" t="s">
        <v>169</v>
      </c>
      <c r="H1101">
        <v>485</v>
      </c>
      <c r="I1101" s="34">
        <f>+POWER_Regional_Daily_20150101_20190305_c11b3312[[#This Row],[Column8]]/100</f>
        <v>4.8499999999999996</v>
      </c>
      <c r="J1101" s="34"/>
    </row>
    <row r="1102" spans="1:10" x14ac:dyDescent="0.25">
      <c r="A1102" s="34" t="s">
        <v>164</v>
      </c>
      <c r="B1102" s="34" t="s">
        <v>165</v>
      </c>
      <c r="C1102" t="s">
        <v>260</v>
      </c>
      <c r="D1102" t="s">
        <v>188</v>
      </c>
      <c r="E1102" t="s">
        <v>207</v>
      </c>
      <c r="F1102" t="s">
        <v>209</v>
      </c>
      <c r="G1102" t="s">
        <v>169</v>
      </c>
      <c r="H1102">
        <v>467</v>
      </c>
      <c r="I1102" s="34">
        <f>+POWER_Regional_Daily_20150101_20190305_c11b3312[[#This Row],[Column8]]/100</f>
        <v>4.67</v>
      </c>
      <c r="J1102" s="34"/>
    </row>
    <row r="1103" spans="1:10" x14ac:dyDescent="0.25">
      <c r="A1103" s="34" t="s">
        <v>164</v>
      </c>
      <c r="B1103" s="34" t="s">
        <v>165</v>
      </c>
      <c r="C1103" t="s">
        <v>260</v>
      </c>
      <c r="D1103" t="s">
        <v>188</v>
      </c>
      <c r="E1103" t="s">
        <v>208</v>
      </c>
      <c r="F1103" t="s">
        <v>227</v>
      </c>
      <c r="G1103" t="s">
        <v>169</v>
      </c>
      <c r="H1103">
        <v>308</v>
      </c>
      <c r="I1103" s="34">
        <f>+POWER_Regional_Daily_20150101_20190305_c11b3312[[#This Row],[Column8]]/100</f>
        <v>3.08</v>
      </c>
      <c r="J1103" s="34"/>
    </row>
    <row r="1104" spans="1:10" x14ac:dyDescent="0.25">
      <c r="A1104" s="34" t="s">
        <v>164</v>
      </c>
      <c r="B1104" s="34" t="s">
        <v>165</v>
      </c>
      <c r="C1104" t="s">
        <v>260</v>
      </c>
      <c r="D1104" t="s">
        <v>188</v>
      </c>
      <c r="E1104" t="s">
        <v>210</v>
      </c>
      <c r="F1104" t="s">
        <v>211</v>
      </c>
      <c r="G1104" t="s">
        <v>169</v>
      </c>
      <c r="H1104">
        <v>388</v>
      </c>
      <c r="I1104" s="34">
        <f>+POWER_Regional_Daily_20150101_20190305_c11b3312[[#This Row],[Column8]]/100</f>
        <v>3.88</v>
      </c>
      <c r="J1104" s="34"/>
    </row>
    <row r="1105" spans="1:10" x14ac:dyDescent="0.25">
      <c r="A1105" s="34" t="s">
        <v>164</v>
      </c>
      <c r="B1105" s="34" t="s">
        <v>165</v>
      </c>
      <c r="C1105" t="s">
        <v>260</v>
      </c>
      <c r="D1105" t="s">
        <v>188</v>
      </c>
      <c r="E1105" t="s">
        <v>212</v>
      </c>
      <c r="F1105" t="s">
        <v>206</v>
      </c>
      <c r="G1105" t="s">
        <v>169</v>
      </c>
      <c r="H1105">
        <v>363</v>
      </c>
      <c r="I1105" s="34">
        <f>+POWER_Regional_Daily_20150101_20190305_c11b3312[[#This Row],[Column8]]/100</f>
        <v>3.63</v>
      </c>
      <c r="J1105" s="34"/>
    </row>
    <row r="1106" spans="1:10" x14ac:dyDescent="0.25">
      <c r="A1106" s="34" t="s">
        <v>164</v>
      </c>
      <c r="B1106" s="34" t="s">
        <v>165</v>
      </c>
      <c r="C1106" t="s">
        <v>260</v>
      </c>
      <c r="D1106" t="s">
        <v>188</v>
      </c>
      <c r="E1106" t="s">
        <v>214</v>
      </c>
      <c r="F1106" t="s">
        <v>229</v>
      </c>
      <c r="G1106" t="s">
        <v>169</v>
      </c>
      <c r="H1106">
        <v>324</v>
      </c>
      <c r="I1106" s="34">
        <f>+POWER_Regional_Daily_20150101_20190305_c11b3312[[#This Row],[Column8]]/100</f>
        <v>3.24</v>
      </c>
      <c r="J1106" s="34"/>
    </row>
    <row r="1107" spans="1:10" x14ac:dyDescent="0.25">
      <c r="A1107" s="34" t="s">
        <v>164</v>
      </c>
      <c r="B1107" s="34" t="s">
        <v>165</v>
      </c>
      <c r="C1107" t="s">
        <v>260</v>
      </c>
      <c r="D1107" t="s">
        <v>188</v>
      </c>
      <c r="E1107" t="s">
        <v>215</v>
      </c>
      <c r="F1107" t="s">
        <v>241</v>
      </c>
      <c r="G1107" t="s">
        <v>169</v>
      </c>
      <c r="H1107">
        <v>272</v>
      </c>
      <c r="I1107" s="34">
        <f>+POWER_Regional_Daily_20150101_20190305_c11b3312[[#This Row],[Column8]]/100</f>
        <v>2.72</v>
      </c>
      <c r="J1107" s="34"/>
    </row>
    <row r="1108" spans="1:10" x14ac:dyDescent="0.25">
      <c r="A1108" s="34" t="s">
        <v>164</v>
      </c>
      <c r="B1108" s="34" t="s">
        <v>165</v>
      </c>
      <c r="C1108" t="s">
        <v>260</v>
      </c>
      <c r="D1108" t="s">
        <v>188</v>
      </c>
      <c r="E1108" t="s">
        <v>217</v>
      </c>
      <c r="F1108" t="s">
        <v>193</v>
      </c>
      <c r="G1108" t="s">
        <v>169</v>
      </c>
      <c r="H1108">
        <v>371</v>
      </c>
      <c r="I1108" s="34">
        <f>+POWER_Regional_Daily_20150101_20190305_c11b3312[[#This Row],[Column8]]/100</f>
        <v>3.71</v>
      </c>
      <c r="J1108" s="34"/>
    </row>
    <row r="1109" spans="1:10" x14ac:dyDescent="0.25">
      <c r="A1109" s="34" t="s">
        <v>164</v>
      </c>
      <c r="B1109" s="34" t="s">
        <v>165</v>
      </c>
      <c r="C1109" t="s">
        <v>260</v>
      </c>
      <c r="D1109" t="s">
        <v>188</v>
      </c>
      <c r="E1109" t="s">
        <v>219</v>
      </c>
      <c r="F1109" t="s">
        <v>224</v>
      </c>
      <c r="G1109" t="s">
        <v>169</v>
      </c>
      <c r="H1109">
        <v>418</v>
      </c>
      <c r="I1109" s="34">
        <f>+POWER_Regional_Daily_20150101_20190305_c11b3312[[#This Row],[Column8]]/100</f>
        <v>4.18</v>
      </c>
      <c r="J1109" s="34"/>
    </row>
    <row r="1110" spans="1:10" x14ac:dyDescent="0.25">
      <c r="A1110" s="34" t="s">
        <v>164</v>
      </c>
      <c r="B1110" s="34" t="s">
        <v>165</v>
      </c>
      <c r="C1110" t="s">
        <v>260</v>
      </c>
      <c r="D1110" t="s">
        <v>188</v>
      </c>
      <c r="E1110" t="s">
        <v>220</v>
      </c>
      <c r="F1110" t="s">
        <v>231</v>
      </c>
      <c r="G1110" t="s">
        <v>169</v>
      </c>
      <c r="H1110">
        <v>446</v>
      </c>
      <c r="I1110" s="34">
        <f>+POWER_Regional_Daily_20150101_20190305_c11b3312[[#This Row],[Column8]]/100</f>
        <v>4.46</v>
      </c>
      <c r="J1110" s="34"/>
    </row>
    <row r="1111" spans="1:10" x14ac:dyDescent="0.25">
      <c r="A1111" s="34" t="s">
        <v>164</v>
      </c>
      <c r="B1111" s="34" t="s">
        <v>165</v>
      </c>
      <c r="C1111" t="s">
        <v>269</v>
      </c>
      <c r="D1111" t="s">
        <v>167</v>
      </c>
      <c r="E1111" t="s">
        <v>167</v>
      </c>
      <c r="F1111" t="s">
        <v>231</v>
      </c>
      <c r="G1111" t="s">
        <v>169</v>
      </c>
      <c r="H1111">
        <v>447</v>
      </c>
      <c r="I1111" s="34">
        <f>+POWER_Regional_Daily_20150101_20190305_c11b3312[[#This Row],[Column8]]/100</f>
        <v>4.47</v>
      </c>
      <c r="J1111" s="34"/>
    </row>
    <row r="1112" spans="1:10" x14ac:dyDescent="0.25">
      <c r="A1112" s="34" t="s">
        <v>164</v>
      </c>
      <c r="B1112" s="34" t="s">
        <v>165</v>
      </c>
      <c r="C1112" t="s">
        <v>269</v>
      </c>
      <c r="D1112" t="s">
        <v>167</v>
      </c>
      <c r="E1112" t="s">
        <v>170</v>
      </c>
      <c r="F1112" t="s">
        <v>224</v>
      </c>
      <c r="G1112" t="s">
        <v>169</v>
      </c>
      <c r="H1112">
        <v>419</v>
      </c>
      <c r="I1112" s="34">
        <f>+POWER_Regional_Daily_20150101_20190305_c11b3312[[#This Row],[Column8]]/100</f>
        <v>4.1900000000000004</v>
      </c>
      <c r="J1112" s="34"/>
    </row>
    <row r="1113" spans="1:10" x14ac:dyDescent="0.25">
      <c r="A1113" s="34" t="s">
        <v>164</v>
      </c>
      <c r="B1113" s="34" t="s">
        <v>165</v>
      </c>
      <c r="C1113" t="s">
        <v>269</v>
      </c>
      <c r="D1113" t="s">
        <v>167</v>
      </c>
      <c r="E1113" t="s">
        <v>172</v>
      </c>
      <c r="F1113" t="s">
        <v>187</v>
      </c>
      <c r="G1113" t="s">
        <v>169</v>
      </c>
      <c r="H1113">
        <v>-999</v>
      </c>
      <c r="I1113" s="34">
        <f>+POWER_Regional_Daily_20150101_20190305_c11b3312[[#This Row],[Column8]]/100</f>
        <v>-9.99</v>
      </c>
      <c r="J1113" s="34"/>
    </row>
    <row r="1114" spans="1:10" x14ac:dyDescent="0.25">
      <c r="A1114" s="34" t="s">
        <v>164</v>
      </c>
      <c r="B1114" s="34" t="s">
        <v>165</v>
      </c>
      <c r="C1114" t="s">
        <v>269</v>
      </c>
      <c r="D1114" t="s">
        <v>167</v>
      </c>
      <c r="E1114" t="s">
        <v>174</v>
      </c>
      <c r="F1114" t="s">
        <v>222</v>
      </c>
      <c r="G1114" t="s">
        <v>169</v>
      </c>
      <c r="H1114">
        <v>506</v>
      </c>
      <c r="I1114" s="34">
        <f>+POWER_Regional_Daily_20150101_20190305_c11b3312[[#This Row],[Column8]]/100</f>
        <v>5.0599999999999996</v>
      </c>
      <c r="J1114" s="34"/>
    </row>
    <row r="1115" spans="1:10" x14ac:dyDescent="0.25">
      <c r="A1115" s="34" t="s">
        <v>164</v>
      </c>
      <c r="B1115" s="34" t="s">
        <v>165</v>
      </c>
      <c r="C1115" t="s">
        <v>269</v>
      </c>
      <c r="D1115" t="s">
        <v>167</v>
      </c>
      <c r="E1115" t="s">
        <v>175</v>
      </c>
      <c r="F1115" t="s">
        <v>209</v>
      </c>
      <c r="G1115" t="s">
        <v>169</v>
      </c>
      <c r="H1115">
        <v>473</v>
      </c>
      <c r="I1115" s="34">
        <f>+POWER_Regional_Daily_20150101_20190305_c11b3312[[#This Row],[Column8]]/100</f>
        <v>4.7300000000000004</v>
      </c>
      <c r="J1115" s="34"/>
    </row>
    <row r="1116" spans="1:10" x14ac:dyDescent="0.25">
      <c r="A1116" s="34" t="s">
        <v>164</v>
      </c>
      <c r="B1116" s="34" t="s">
        <v>165</v>
      </c>
      <c r="C1116" t="s">
        <v>269</v>
      </c>
      <c r="D1116" t="s">
        <v>167</v>
      </c>
      <c r="E1116" t="s">
        <v>177</v>
      </c>
      <c r="F1116" t="s">
        <v>181</v>
      </c>
      <c r="G1116" t="s">
        <v>169</v>
      </c>
      <c r="H1116">
        <v>521</v>
      </c>
      <c r="I1116" s="34">
        <f>+POWER_Regional_Daily_20150101_20190305_c11b3312[[#This Row],[Column8]]/100</f>
        <v>5.21</v>
      </c>
      <c r="J1116" s="34"/>
    </row>
    <row r="1117" spans="1:10" x14ac:dyDescent="0.25">
      <c r="A1117" s="34" t="s">
        <v>164</v>
      </c>
      <c r="B1117" s="34" t="s">
        <v>165</v>
      </c>
      <c r="C1117" t="s">
        <v>269</v>
      </c>
      <c r="D1117" t="s">
        <v>167</v>
      </c>
      <c r="E1117" t="s">
        <v>178</v>
      </c>
      <c r="F1117" t="s">
        <v>213</v>
      </c>
      <c r="G1117" t="s">
        <v>169</v>
      </c>
      <c r="H1117">
        <v>511</v>
      </c>
      <c r="I1117" s="34">
        <f>+POWER_Regional_Daily_20150101_20190305_c11b3312[[#This Row],[Column8]]/100</f>
        <v>5.1100000000000003</v>
      </c>
      <c r="J1117" s="34"/>
    </row>
    <row r="1118" spans="1:10" x14ac:dyDescent="0.25">
      <c r="A1118" s="34" t="s">
        <v>164</v>
      </c>
      <c r="B1118" s="34" t="s">
        <v>165</v>
      </c>
      <c r="C1118" t="s">
        <v>269</v>
      </c>
      <c r="D1118" t="s">
        <v>167</v>
      </c>
      <c r="E1118" t="s">
        <v>180</v>
      </c>
      <c r="F1118" t="s">
        <v>213</v>
      </c>
      <c r="G1118" t="s">
        <v>169</v>
      </c>
      <c r="H1118">
        <v>510</v>
      </c>
      <c r="I1118" s="34">
        <f>+POWER_Regional_Daily_20150101_20190305_c11b3312[[#This Row],[Column8]]/100</f>
        <v>5.0999999999999996</v>
      </c>
      <c r="J1118" s="34"/>
    </row>
    <row r="1119" spans="1:10" x14ac:dyDescent="0.25">
      <c r="A1119" s="34" t="s">
        <v>164</v>
      </c>
      <c r="B1119" s="34" t="s">
        <v>165</v>
      </c>
      <c r="C1119" t="s">
        <v>269</v>
      </c>
      <c r="D1119" t="s">
        <v>167</v>
      </c>
      <c r="E1119" t="s">
        <v>182</v>
      </c>
      <c r="F1119" t="s">
        <v>263</v>
      </c>
      <c r="G1119" t="s">
        <v>169</v>
      </c>
      <c r="H1119">
        <v>196</v>
      </c>
      <c r="I1119" s="34">
        <f>+POWER_Regional_Daily_20150101_20190305_c11b3312[[#This Row],[Column8]]/100</f>
        <v>1.96</v>
      </c>
      <c r="J1119" s="34"/>
    </row>
    <row r="1120" spans="1:10" x14ac:dyDescent="0.25">
      <c r="A1120" s="34" t="s">
        <v>164</v>
      </c>
      <c r="B1120" s="34" t="s">
        <v>165</v>
      </c>
      <c r="C1120" t="s">
        <v>269</v>
      </c>
      <c r="D1120" t="s">
        <v>167</v>
      </c>
      <c r="E1120" t="s">
        <v>184</v>
      </c>
      <c r="F1120" t="s">
        <v>185</v>
      </c>
      <c r="G1120" t="s">
        <v>169</v>
      </c>
      <c r="H1120">
        <v>573</v>
      </c>
      <c r="I1120" s="34">
        <f>+POWER_Regional_Daily_20150101_20190305_c11b3312[[#This Row],[Column8]]/100</f>
        <v>5.73</v>
      </c>
      <c r="J1120" s="34"/>
    </row>
    <row r="1121" spans="1:10" x14ac:dyDescent="0.25">
      <c r="A1121" s="34" t="s">
        <v>164</v>
      </c>
      <c r="B1121" s="34" t="s">
        <v>165</v>
      </c>
      <c r="C1121" t="s">
        <v>269</v>
      </c>
      <c r="D1121" t="s">
        <v>167</v>
      </c>
      <c r="E1121" t="s">
        <v>186</v>
      </c>
      <c r="F1121" t="s">
        <v>223</v>
      </c>
      <c r="G1121" t="s">
        <v>169</v>
      </c>
      <c r="H1121">
        <v>460</v>
      </c>
      <c r="I1121" s="34">
        <f>+POWER_Regional_Daily_20150101_20190305_c11b3312[[#This Row],[Column8]]/100</f>
        <v>4.5999999999999996</v>
      </c>
      <c r="J1121" s="34"/>
    </row>
    <row r="1122" spans="1:10" x14ac:dyDescent="0.25">
      <c r="A1122" s="34" t="s">
        <v>164</v>
      </c>
      <c r="B1122" s="34" t="s">
        <v>165</v>
      </c>
      <c r="C1122" t="s">
        <v>269</v>
      </c>
      <c r="D1122" t="s">
        <v>167</v>
      </c>
      <c r="E1122" t="s">
        <v>188</v>
      </c>
      <c r="F1122" t="s">
        <v>227</v>
      </c>
      <c r="G1122" t="s">
        <v>169</v>
      </c>
      <c r="H1122">
        <v>306</v>
      </c>
      <c r="I1122" s="34">
        <f>+POWER_Regional_Daily_20150101_20190305_c11b3312[[#This Row],[Column8]]/100</f>
        <v>3.06</v>
      </c>
      <c r="J1122" s="34"/>
    </row>
    <row r="1123" spans="1:10" x14ac:dyDescent="0.25">
      <c r="A1123" s="34" t="s">
        <v>164</v>
      </c>
      <c r="B1123" s="34" t="s">
        <v>165</v>
      </c>
      <c r="C1123" t="s">
        <v>269</v>
      </c>
      <c r="D1123" t="s">
        <v>167</v>
      </c>
      <c r="E1123" t="s">
        <v>190</v>
      </c>
      <c r="F1123" t="s">
        <v>197</v>
      </c>
      <c r="G1123" t="s">
        <v>169</v>
      </c>
      <c r="H1123">
        <v>416</v>
      </c>
      <c r="I1123" s="34">
        <f>+POWER_Regional_Daily_20150101_20190305_c11b3312[[#This Row],[Column8]]/100</f>
        <v>4.16</v>
      </c>
      <c r="J1123" s="34"/>
    </row>
    <row r="1124" spans="1:10" x14ac:dyDescent="0.25">
      <c r="A1124" s="34" t="s">
        <v>164</v>
      </c>
      <c r="B1124" s="34" t="s">
        <v>165</v>
      </c>
      <c r="C1124" t="s">
        <v>269</v>
      </c>
      <c r="D1124" t="s">
        <v>167</v>
      </c>
      <c r="E1124" t="s">
        <v>192</v>
      </c>
      <c r="F1124" t="s">
        <v>235</v>
      </c>
      <c r="G1124" t="s">
        <v>169</v>
      </c>
      <c r="H1124">
        <v>467</v>
      </c>
      <c r="I1124" s="34">
        <f>+POWER_Regional_Daily_20150101_20190305_c11b3312[[#This Row],[Column8]]/100</f>
        <v>4.67</v>
      </c>
      <c r="J1124" s="34"/>
    </row>
    <row r="1125" spans="1:10" x14ac:dyDescent="0.25">
      <c r="A1125" s="34" t="s">
        <v>164</v>
      </c>
      <c r="B1125" s="34" t="s">
        <v>165</v>
      </c>
      <c r="C1125" t="s">
        <v>269</v>
      </c>
      <c r="D1125" t="s">
        <v>167</v>
      </c>
      <c r="E1125" t="s">
        <v>194</v>
      </c>
      <c r="F1125" t="s">
        <v>211</v>
      </c>
      <c r="G1125" t="s">
        <v>169</v>
      </c>
      <c r="H1125">
        <v>395</v>
      </c>
      <c r="I1125" s="34">
        <f>+POWER_Regional_Daily_20150101_20190305_c11b3312[[#This Row],[Column8]]/100</f>
        <v>3.95</v>
      </c>
      <c r="J1125" s="34"/>
    </row>
    <row r="1126" spans="1:10" x14ac:dyDescent="0.25">
      <c r="A1126" s="34" t="s">
        <v>164</v>
      </c>
      <c r="B1126" s="34" t="s">
        <v>165</v>
      </c>
      <c r="C1126" t="s">
        <v>269</v>
      </c>
      <c r="D1126" t="s">
        <v>167</v>
      </c>
      <c r="E1126" t="s">
        <v>196</v>
      </c>
      <c r="F1126" t="s">
        <v>206</v>
      </c>
      <c r="G1126" t="s">
        <v>169</v>
      </c>
      <c r="H1126">
        <v>367</v>
      </c>
      <c r="I1126" s="34">
        <f>+POWER_Regional_Daily_20150101_20190305_c11b3312[[#This Row],[Column8]]/100</f>
        <v>3.67</v>
      </c>
      <c r="J1126" s="34"/>
    </row>
    <row r="1127" spans="1:10" x14ac:dyDescent="0.25">
      <c r="A1127" s="34" t="s">
        <v>164</v>
      </c>
      <c r="B1127" s="34" t="s">
        <v>165</v>
      </c>
      <c r="C1127" t="s">
        <v>269</v>
      </c>
      <c r="D1127" t="s">
        <v>167</v>
      </c>
      <c r="E1127" t="s">
        <v>198</v>
      </c>
      <c r="F1127" t="s">
        <v>230</v>
      </c>
      <c r="G1127" t="s">
        <v>169</v>
      </c>
      <c r="H1127">
        <v>350</v>
      </c>
      <c r="I1127" s="34">
        <f>+POWER_Regional_Daily_20150101_20190305_c11b3312[[#This Row],[Column8]]/100</f>
        <v>3.5</v>
      </c>
      <c r="J1127" s="34"/>
    </row>
    <row r="1128" spans="1:10" x14ac:dyDescent="0.25">
      <c r="A1128" s="34" t="s">
        <v>164</v>
      </c>
      <c r="B1128" s="34" t="s">
        <v>165</v>
      </c>
      <c r="C1128" t="s">
        <v>269</v>
      </c>
      <c r="D1128" t="s">
        <v>167</v>
      </c>
      <c r="E1128" t="s">
        <v>199</v>
      </c>
      <c r="F1128" t="s">
        <v>221</v>
      </c>
      <c r="G1128" t="s">
        <v>169</v>
      </c>
      <c r="H1128">
        <v>389</v>
      </c>
      <c r="I1128" s="34">
        <f>+POWER_Regional_Daily_20150101_20190305_c11b3312[[#This Row],[Column8]]/100</f>
        <v>3.89</v>
      </c>
      <c r="J1128" s="34"/>
    </row>
    <row r="1129" spans="1:10" x14ac:dyDescent="0.25">
      <c r="A1129" s="34" t="s">
        <v>164</v>
      </c>
      <c r="B1129" s="34" t="s">
        <v>165</v>
      </c>
      <c r="C1129" t="s">
        <v>269</v>
      </c>
      <c r="D1129" t="s">
        <v>167</v>
      </c>
      <c r="E1129" t="s">
        <v>200</v>
      </c>
      <c r="F1129" t="s">
        <v>187</v>
      </c>
      <c r="G1129" t="s">
        <v>169</v>
      </c>
      <c r="H1129">
        <v>-999</v>
      </c>
      <c r="I1129" s="34">
        <f>+POWER_Regional_Daily_20150101_20190305_c11b3312[[#This Row],[Column8]]/100</f>
        <v>-9.99</v>
      </c>
      <c r="J1129" s="34"/>
    </row>
    <row r="1130" spans="1:10" x14ac:dyDescent="0.25">
      <c r="A1130" s="34" t="s">
        <v>164</v>
      </c>
      <c r="B1130" s="34" t="s">
        <v>165</v>
      </c>
      <c r="C1130" t="s">
        <v>269</v>
      </c>
      <c r="D1130" t="s">
        <v>167</v>
      </c>
      <c r="E1130" t="s">
        <v>202</v>
      </c>
      <c r="F1130" t="s">
        <v>169</v>
      </c>
      <c r="G1130" t="s">
        <v>169</v>
      </c>
      <c r="H1130">
        <v>583</v>
      </c>
      <c r="I1130" s="34">
        <f>+POWER_Regional_Daily_20150101_20190305_c11b3312[[#This Row],[Column8]]/100</f>
        <v>5.83</v>
      </c>
      <c r="J1130" s="34"/>
    </row>
    <row r="1131" spans="1:10" x14ac:dyDescent="0.25">
      <c r="A1131" s="34" t="s">
        <v>164</v>
      </c>
      <c r="B1131" s="34" t="s">
        <v>165</v>
      </c>
      <c r="C1131" t="s">
        <v>269</v>
      </c>
      <c r="D1131" t="s">
        <v>167</v>
      </c>
      <c r="E1131" t="s">
        <v>203</v>
      </c>
      <c r="F1131" t="s">
        <v>232</v>
      </c>
      <c r="G1131" t="s">
        <v>169</v>
      </c>
      <c r="H1131">
        <v>576</v>
      </c>
      <c r="I1131" s="34">
        <f>+POWER_Regional_Daily_20150101_20190305_c11b3312[[#This Row],[Column8]]/100</f>
        <v>5.76</v>
      </c>
      <c r="J1131" s="34"/>
    </row>
    <row r="1132" spans="1:10" x14ac:dyDescent="0.25">
      <c r="A1132" s="34" t="s">
        <v>164</v>
      </c>
      <c r="B1132" s="34" t="s">
        <v>165</v>
      </c>
      <c r="C1132" t="s">
        <v>269</v>
      </c>
      <c r="D1132" t="s">
        <v>167</v>
      </c>
      <c r="E1132" t="s">
        <v>205</v>
      </c>
      <c r="F1132" t="s">
        <v>243</v>
      </c>
      <c r="G1132" t="s">
        <v>169</v>
      </c>
      <c r="H1132">
        <v>300</v>
      </c>
      <c r="I1132" s="34">
        <f>+POWER_Regional_Daily_20150101_20190305_c11b3312[[#This Row],[Column8]]/100</f>
        <v>3</v>
      </c>
      <c r="J1132" s="34"/>
    </row>
    <row r="1133" spans="1:10" x14ac:dyDescent="0.25">
      <c r="A1133" s="34" t="s">
        <v>164</v>
      </c>
      <c r="B1133" s="34" t="s">
        <v>165</v>
      </c>
      <c r="C1133" t="s">
        <v>269</v>
      </c>
      <c r="D1133" t="s">
        <v>167</v>
      </c>
      <c r="E1133" t="s">
        <v>207</v>
      </c>
      <c r="F1133" t="s">
        <v>209</v>
      </c>
      <c r="G1133" t="s">
        <v>169</v>
      </c>
      <c r="H1133">
        <v>492</v>
      </c>
      <c r="I1133" s="34">
        <f>+POWER_Regional_Daily_20150101_20190305_c11b3312[[#This Row],[Column8]]/100</f>
        <v>4.92</v>
      </c>
      <c r="J1133" s="34"/>
    </row>
    <row r="1134" spans="1:10" x14ac:dyDescent="0.25">
      <c r="A1134" s="34" t="s">
        <v>164</v>
      </c>
      <c r="B1134" s="34" t="s">
        <v>165</v>
      </c>
      <c r="C1134" t="s">
        <v>269</v>
      </c>
      <c r="D1134" t="s">
        <v>167</v>
      </c>
      <c r="E1134" t="s">
        <v>208</v>
      </c>
      <c r="F1134" t="s">
        <v>238</v>
      </c>
      <c r="G1134" t="s">
        <v>169</v>
      </c>
      <c r="H1134">
        <v>600</v>
      </c>
      <c r="I1134" s="34">
        <f>+POWER_Regional_Daily_20150101_20190305_c11b3312[[#This Row],[Column8]]/100</f>
        <v>6</v>
      </c>
      <c r="J1134" s="34"/>
    </row>
    <row r="1135" spans="1:10" x14ac:dyDescent="0.25">
      <c r="A1135" s="34" t="s">
        <v>164</v>
      </c>
      <c r="B1135" s="34" t="s">
        <v>165</v>
      </c>
      <c r="C1135" t="s">
        <v>269</v>
      </c>
      <c r="D1135" t="s">
        <v>167</v>
      </c>
      <c r="E1135" t="s">
        <v>210</v>
      </c>
      <c r="F1135" t="s">
        <v>181</v>
      </c>
      <c r="G1135" t="s">
        <v>169</v>
      </c>
      <c r="H1135">
        <v>537</v>
      </c>
      <c r="I1135" s="34">
        <f>+POWER_Regional_Daily_20150101_20190305_c11b3312[[#This Row],[Column8]]/100</f>
        <v>5.37</v>
      </c>
      <c r="J1135" s="34"/>
    </row>
    <row r="1136" spans="1:10" x14ac:dyDescent="0.25">
      <c r="A1136" s="34" t="s">
        <v>164</v>
      </c>
      <c r="B1136" s="34" t="s">
        <v>165</v>
      </c>
      <c r="C1136" t="s">
        <v>269</v>
      </c>
      <c r="D1136" t="s">
        <v>167</v>
      </c>
      <c r="E1136" t="s">
        <v>212</v>
      </c>
      <c r="F1136" t="s">
        <v>224</v>
      </c>
      <c r="G1136" t="s">
        <v>169</v>
      </c>
      <c r="H1136">
        <v>436</v>
      </c>
      <c r="I1136" s="34">
        <f>+POWER_Regional_Daily_20150101_20190305_c11b3312[[#This Row],[Column8]]/100</f>
        <v>4.3600000000000003</v>
      </c>
      <c r="J1136" s="34"/>
    </row>
    <row r="1137" spans="1:10" x14ac:dyDescent="0.25">
      <c r="A1137" s="34" t="s">
        <v>164</v>
      </c>
      <c r="B1137" s="34" t="s">
        <v>165</v>
      </c>
      <c r="C1137" t="s">
        <v>269</v>
      </c>
      <c r="D1137" t="s">
        <v>167</v>
      </c>
      <c r="E1137" t="s">
        <v>214</v>
      </c>
      <c r="F1137" t="s">
        <v>183</v>
      </c>
      <c r="G1137" t="s">
        <v>169</v>
      </c>
      <c r="H1137">
        <v>546</v>
      </c>
      <c r="I1137" s="34">
        <f>+POWER_Regional_Daily_20150101_20190305_c11b3312[[#This Row],[Column8]]/100</f>
        <v>5.46</v>
      </c>
      <c r="J1137" s="34"/>
    </row>
    <row r="1138" spans="1:10" x14ac:dyDescent="0.25">
      <c r="A1138" s="34" t="s">
        <v>164</v>
      </c>
      <c r="B1138" s="34" t="s">
        <v>165</v>
      </c>
      <c r="C1138" t="s">
        <v>269</v>
      </c>
      <c r="D1138" t="s">
        <v>167</v>
      </c>
      <c r="E1138" t="s">
        <v>215</v>
      </c>
      <c r="F1138" t="s">
        <v>206</v>
      </c>
      <c r="G1138" t="s">
        <v>169</v>
      </c>
      <c r="H1138">
        <v>381</v>
      </c>
      <c r="I1138" s="34">
        <f>+POWER_Regional_Daily_20150101_20190305_c11b3312[[#This Row],[Column8]]/100</f>
        <v>3.81</v>
      </c>
      <c r="J1138" s="34"/>
    </row>
    <row r="1139" spans="1:10" x14ac:dyDescent="0.25">
      <c r="A1139" s="34" t="s">
        <v>164</v>
      </c>
      <c r="B1139" s="34" t="s">
        <v>165</v>
      </c>
      <c r="C1139" t="s">
        <v>269</v>
      </c>
      <c r="D1139" t="s">
        <v>167</v>
      </c>
      <c r="E1139" t="s">
        <v>217</v>
      </c>
      <c r="F1139" t="s">
        <v>222</v>
      </c>
      <c r="G1139" t="s">
        <v>169</v>
      </c>
      <c r="H1139">
        <v>527</v>
      </c>
      <c r="I1139" s="34">
        <f>+POWER_Regional_Daily_20150101_20190305_c11b3312[[#This Row],[Column8]]/100</f>
        <v>5.27</v>
      </c>
      <c r="J1139" s="34"/>
    </row>
    <row r="1140" spans="1:10" x14ac:dyDescent="0.25">
      <c r="A1140" s="34" t="s">
        <v>164</v>
      </c>
      <c r="B1140" s="34" t="s">
        <v>165</v>
      </c>
      <c r="C1140" t="s">
        <v>269</v>
      </c>
      <c r="D1140" t="s">
        <v>167</v>
      </c>
      <c r="E1140" t="s">
        <v>219</v>
      </c>
      <c r="F1140" t="s">
        <v>231</v>
      </c>
      <c r="G1140" t="s">
        <v>169</v>
      </c>
      <c r="H1140">
        <v>470</v>
      </c>
      <c r="I1140" s="34">
        <f>+POWER_Regional_Daily_20150101_20190305_c11b3312[[#This Row],[Column8]]/100</f>
        <v>4.7</v>
      </c>
      <c r="J1140" s="34"/>
    </row>
    <row r="1141" spans="1:10" x14ac:dyDescent="0.25">
      <c r="A1141" s="34" t="s">
        <v>164</v>
      </c>
      <c r="B1141" s="34" t="s">
        <v>165</v>
      </c>
      <c r="C1141" t="s">
        <v>269</v>
      </c>
      <c r="D1141" t="s">
        <v>167</v>
      </c>
      <c r="E1141" t="s">
        <v>220</v>
      </c>
      <c r="F1141" t="s">
        <v>193</v>
      </c>
      <c r="G1141" t="s">
        <v>169</v>
      </c>
      <c r="H1141">
        <v>387</v>
      </c>
      <c r="I1141" s="34">
        <f>+POWER_Regional_Daily_20150101_20190305_c11b3312[[#This Row],[Column8]]/100</f>
        <v>3.87</v>
      </c>
      <c r="J1141" s="34"/>
    </row>
    <row r="1142" spans="1:10" x14ac:dyDescent="0.25">
      <c r="A1142" s="34" t="s">
        <v>164</v>
      </c>
      <c r="B1142" s="34" t="s">
        <v>165</v>
      </c>
      <c r="C1142" t="s">
        <v>269</v>
      </c>
      <c r="D1142" t="s">
        <v>170</v>
      </c>
      <c r="E1142" t="s">
        <v>167</v>
      </c>
      <c r="F1142" t="s">
        <v>195</v>
      </c>
      <c r="G1142" t="s">
        <v>169</v>
      </c>
      <c r="H1142">
        <v>454</v>
      </c>
      <c r="I1142" s="34">
        <f>+POWER_Regional_Daily_20150101_20190305_c11b3312[[#This Row],[Column8]]/100</f>
        <v>4.54</v>
      </c>
      <c r="J1142" s="34"/>
    </row>
    <row r="1143" spans="1:10" x14ac:dyDescent="0.25">
      <c r="A1143" s="34" t="s">
        <v>164</v>
      </c>
      <c r="B1143" s="34" t="s">
        <v>165</v>
      </c>
      <c r="C1143" t="s">
        <v>269</v>
      </c>
      <c r="D1143" t="s">
        <v>170</v>
      </c>
      <c r="E1143" t="s">
        <v>170</v>
      </c>
      <c r="F1143" t="s">
        <v>225</v>
      </c>
      <c r="G1143" t="s">
        <v>169</v>
      </c>
      <c r="H1143">
        <v>294</v>
      </c>
      <c r="I1143" s="34">
        <f>+POWER_Regional_Daily_20150101_20190305_c11b3312[[#This Row],[Column8]]/100</f>
        <v>2.94</v>
      </c>
      <c r="J1143" s="34"/>
    </row>
    <row r="1144" spans="1:10" x14ac:dyDescent="0.25">
      <c r="A1144" s="34" t="s">
        <v>164</v>
      </c>
      <c r="B1144" s="34" t="s">
        <v>165</v>
      </c>
      <c r="C1144" t="s">
        <v>269</v>
      </c>
      <c r="D1144" t="s">
        <v>170</v>
      </c>
      <c r="E1144" t="s">
        <v>172</v>
      </c>
      <c r="F1144" t="s">
        <v>227</v>
      </c>
      <c r="G1144" t="s">
        <v>169</v>
      </c>
      <c r="H1144">
        <v>320</v>
      </c>
      <c r="I1144" s="34">
        <f>+POWER_Regional_Daily_20150101_20190305_c11b3312[[#This Row],[Column8]]/100</f>
        <v>3.2</v>
      </c>
      <c r="J1144" s="34"/>
    </row>
    <row r="1145" spans="1:10" x14ac:dyDescent="0.25">
      <c r="A1145" s="34" t="s">
        <v>164</v>
      </c>
      <c r="B1145" s="34" t="s">
        <v>165</v>
      </c>
      <c r="C1145" t="s">
        <v>269</v>
      </c>
      <c r="D1145" t="s">
        <v>170</v>
      </c>
      <c r="E1145" t="s">
        <v>174</v>
      </c>
      <c r="F1145" t="s">
        <v>187</v>
      </c>
      <c r="G1145" t="s">
        <v>169</v>
      </c>
      <c r="H1145">
        <v>-999</v>
      </c>
      <c r="I1145" s="34">
        <f>+POWER_Regional_Daily_20150101_20190305_c11b3312[[#This Row],[Column8]]/100</f>
        <v>-9.99</v>
      </c>
      <c r="J1145" s="34"/>
    </row>
    <row r="1146" spans="1:10" x14ac:dyDescent="0.25">
      <c r="A1146" s="34" t="s">
        <v>164</v>
      </c>
      <c r="B1146" s="34" t="s">
        <v>165</v>
      </c>
      <c r="C1146" t="s">
        <v>269</v>
      </c>
      <c r="D1146" t="s">
        <v>170</v>
      </c>
      <c r="E1146" t="s">
        <v>175</v>
      </c>
      <c r="F1146" t="s">
        <v>197</v>
      </c>
      <c r="G1146" t="s">
        <v>169</v>
      </c>
      <c r="H1146">
        <v>435</v>
      </c>
      <c r="I1146" s="34">
        <f>+POWER_Regional_Daily_20150101_20190305_c11b3312[[#This Row],[Column8]]/100</f>
        <v>4.3499999999999996</v>
      </c>
      <c r="J1146" s="34"/>
    </row>
    <row r="1147" spans="1:10" x14ac:dyDescent="0.25">
      <c r="A1147" s="34" t="s">
        <v>164</v>
      </c>
      <c r="B1147" s="34" t="s">
        <v>165</v>
      </c>
      <c r="C1147" t="s">
        <v>269</v>
      </c>
      <c r="D1147" t="s">
        <v>170</v>
      </c>
      <c r="E1147" t="s">
        <v>177</v>
      </c>
      <c r="F1147" t="s">
        <v>181</v>
      </c>
      <c r="G1147" t="s">
        <v>169</v>
      </c>
      <c r="H1147">
        <v>556</v>
      </c>
      <c r="I1147" s="34">
        <f>+POWER_Regional_Daily_20150101_20190305_c11b3312[[#This Row],[Column8]]/100</f>
        <v>5.56</v>
      </c>
      <c r="J1147" s="34"/>
    </row>
    <row r="1148" spans="1:10" x14ac:dyDescent="0.25">
      <c r="A1148" s="34" t="s">
        <v>164</v>
      </c>
      <c r="B1148" s="34" t="s">
        <v>165</v>
      </c>
      <c r="C1148" t="s">
        <v>269</v>
      </c>
      <c r="D1148" t="s">
        <v>170</v>
      </c>
      <c r="E1148" t="s">
        <v>178</v>
      </c>
      <c r="F1148" t="s">
        <v>232</v>
      </c>
      <c r="G1148" t="s">
        <v>169</v>
      </c>
      <c r="H1148">
        <v>592</v>
      </c>
      <c r="I1148" s="34">
        <f>+POWER_Regional_Daily_20150101_20190305_c11b3312[[#This Row],[Column8]]/100</f>
        <v>5.92</v>
      </c>
      <c r="J1148" s="34"/>
    </row>
    <row r="1149" spans="1:10" x14ac:dyDescent="0.25">
      <c r="A1149" s="34" t="s">
        <v>164</v>
      </c>
      <c r="B1149" s="34" t="s">
        <v>165</v>
      </c>
      <c r="C1149" t="s">
        <v>269</v>
      </c>
      <c r="D1149" t="s">
        <v>170</v>
      </c>
      <c r="E1149" t="s">
        <v>180</v>
      </c>
      <c r="F1149" t="s">
        <v>187</v>
      </c>
      <c r="G1149" t="s">
        <v>169</v>
      </c>
      <c r="H1149">
        <v>-999</v>
      </c>
      <c r="I1149" s="34">
        <f>+POWER_Regional_Daily_20150101_20190305_c11b3312[[#This Row],[Column8]]/100</f>
        <v>-9.99</v>
      </c>
      <c r="J1149" s="34"/>
    </row>
    <row r="1150" spans="1:10" x14ac:dyDescent="0.25">
      <c r="A1150" s="34" t="s">
        <v>164</v>
      </c>
      <c r="B1150" s="34" t="s">
        <v>165</v>
      </c>
      <c r="C1150" t="s">
        <v>269</v>
      </c>
      <c r="D1150" t="s">
        <v>170</v>
      </c>
      <c r="E1150" t="s">
        <v>182</v>
      </c>
      <c r="F1150" t="s">
        <v>195</v>
      </c>
      <c r="G1150" t="s">
        <v>169</v>
      </c>
      <c r="H1150">
        <v>464</v>
      </c>
      <c r="I1150" s="34">
        <f>+POWER_Regional_Daily_20150101_20190305_c11b3312[[#This Row],[Column8]]/100</f>
        <v>4.6399999999999997</v>
      </c>
      <c r="J1150" s="34"/>
    </row>
    <row r="1151" spans="1:10" x14ac:dyDescent="0.25">
      <c r="A1151" s="34" t="s">
        <v>164</v>
      </c>
      <c r="B1151" s="34" t="s">
        <v>165</v>
      </c>
      <c r="C1151" t="s">
        <v>269</v>
      </c>
      <c r="D1151" t="s">
        <v>170</v>
      </c>
      <c r="E1151" t="s">
        <v>184</v>
      </c>
      <c r="F1151" t="s">
        <v>224</v>
      </c>
      <c r="G1151" t="s">
        <v>169</v>
      </c>
      <c r="H1151">
        <v>449</v>
      </c>
      <c r="I1151" s="34">
        <f>+POWER_Regional_Daily_20150101_20190305_c11b3312[[#This Row],[Column8]]/100</f>
        <v>4.49</v>
      </c>
      <c r="J1151" s="34"/>
    </row>
    <row r="1152" spans="1:10" x14ac:dyDescent="0.25">
      <c r="A1152" s="34" t="s">
        <v>164</v>
      </c>
      <c r="B1152" s="34" t="s">
        <v>165</v>
      </c>
      <c r="C1152" t="s">
        <v>269</v>
      </c>
      <c r="D1152" t="s">
        <v>170</v>
      </c>
      <c r="E1152" t="s">
        <v>186</v>
      </c>
      <c r="F1152" t="s">
        <v>191</v>
      </c>
      <c r="G1152" t="s">
        <v>169</v>
      </c>
      <c r="H1152">
        <v>337</v>
      </c>
      <c r="I1152" s="34">
        <f>+POWER_Regional_Daily_20150101_20190305_c11b3312[[#This Row],[Column8]]/100</f>
        <v>3.37</v>
      </c>
      <c r="J1152" s="34"/>
    </row>
    <row r="1153" spans="1:10" x14ac:dyDescent="0.25">
      <c r="A1153" s="34" t="s">
        <v>164</v>
      </c>
      <c r="B1153" s="34" t="s">
        <v>165</v>
      </c>
      <c r="C1153" t="s">
        <v>269</v>
      </c>
      <c r="D1153" t="s">
        <v>170</v>
      </c>
      <c r="E1153" t="s">
        <v>188</v>
      </c>
      <c r="F1153" t="s">
        <v>193</v>
      </c>
      <c r="G1153" t="s">
        <v>169</v>
      </c>
      <c r="H1153">
        <v>400</v>
      </c>
      <c r="I1153" s="34">
        <f>+POWER_Regional_Daily_20150101_20190305_c11b3312[[#This Row],[Column8]]/100</f>
        <v>4</v>
      </c>
      <c r="J1153" s="34"/>
    </row>
    <row r="1154" spans="1:10" x14ac:dyDescent="0.25">
      <c r="A1154" s="34" t="s">
        <v>164</v>
      </c>
      <c r="B1154" s="34" t="s">
        <v>165</v>
      </c>
      <c r="C1154" t="s">
        <v>269</v>
      </c>
      <c r="D1154" t="s">
        <v>170</v>
      </c>
      <c r="E1154" t="s">
        <v>190</v>
      </c>
      <c r="F1154" t="s">
        <v>224</v>
      </c>
      <c r="G1154" t="s">
        <v>169</v>
      </c>
      <c r="H1154">
        <v>445</v>
      </c>
      <c r="I1154" s="34">
        <f>+POWER_Regional_Daily_20150101_20190305_c11b3312[[#This Row],[Column8]]/100</f>
        <v>4.45</v>
      </c>
      <c r="J1154" s="34"/>
    </row>
    <row r="1155" spans="1:10" x14ac:dyDescent="0.25">
      <c r="A1155" s="34" t="s">
        <v>164</v>
      </c>
      <c r="B1155" s="34" t="s">
        <v>165</v>
      </c>
      <c r="C1155" t="s">
        <v>269</v>
      </c>
      <c r="D1155" t="s">
        <v>170</v>
      </c>
      <c r="E1155" t="s">
        <v>192</v>
      </c>
      <c r="F1155" t="s">
        <v>204</v>
      </c>
      <c r="G1155" t="s">
        <v>169</v>
      </c>
      <c r="H1155">
        <v>432</v>
      </c>
      <c r="I1155" s="34">
        <f>+POWER_Regional_Daily_20150101_20190305_c11b3312[[#This Row],[Column8]]/100</f>
        <v>4.32</v>
      </c>
      <c r="J1155" s="34"/>
    </row>
    <row r="1156" spans="1:10" x14ac:dyDescent="0.25">
      <c r="A1156" s="34" t="s">
        <v>164</v>
      </c>
      <c r="B1156" s="34" t="s">
        <v>165</v>
      </c>
      <c r="C1156" t="s">
        <v>269</v>
      </c>
      <c r="D1156" t="s">
        <v>170</v>
      </c>
      <c r="E1156" t="s">
        <v>194</v>
      </c>
      <c r="F1156" t="s">
        <v>209</v>
      </c>
      <c r="G1156" t="s">
        <v>169</v>
      </c>
      <c r="H1156">
        <v>508</v>
      </c>
      <c r="I1156" s="34">
        <f>+POWER_Regional_Daily_20150101_20190305_c11b3312[[#This Row],[Column8]]/100</f>
        <v>5.08</v>
      </c>
      <c r="J1156" s="34"/>
    </row>
    <row r="1157" spans="1:10" x14ac:dyDescent="0.25">
      <c r="A1157" s="34" t="s">
        <v>164</v>
      </c>
      <c r="B1157" s="34" t="s">
        <v>165</v>
      </c>
      <c r="C1157" t="s">
        <v>269</v>
      </c>
      <c r="D1157" t="s">
        <v>170</v>
      </c>
      <c r="E1157" t="s">
        <v>196</v>
      </c>
      <c r="F1157" t="s">
        <v>221</v>
      </c>
      <c r="G1157" t="s">
        <v>169</v>
      </c>
      <c r="H1157">
        <v>417</v>
      </c>
      <c r="I1157" s="34">
        <f>+POWER_Regional_Daily_20150101_20190305_c11b3312[[#This Row],[Column8]]/100</f>
        <v>4.17</v>
      </c>
      <c r="J1157" s="34"/>
    </row>
    <row r="1158" spans="1:10" x14ac:dyDescent="0.25">
      <c r="A1158" s="34" t="s">
        <v>164</v>
      </c>
      <c r="B1158" s="34" t="s">
        <v>165</v>
      </c>
      <c r="C1158" t="s">
        <v>269</v>
      </c>
      <c r="D1158" t="s">
        <v>170</v>
      </c>
      <c r="E1158" t="s">
        <v>198</v>
      </c>
      <c r="F1158" t="s">
        <v>243</v>
      </c>
      <c r="G1158" t="s">
        <v>169</v>
      </c>
      <c r="H1158">
        <v>317</v>
      </c>
      <c r="I1158" s="34">
        <f>+POWER_Regional_Daily_20150101_20190305_c11b3312[[#This Row],[Column8]]/100</f>
        <v>3.17</v>
      </c>
      <c r="J1158" s="34"/>
    </row>
    <row r="1159" spans="1:10" x14ac:dyDescent="0.25">
      <c r="A1159" s="34" t="s">
        <v>164</v>
      </c>
      <c r="B1159" s="34" t="s">
        <v>165</v>
      </c>
      <c r="C1159" t="s">
        <v>269</v>
      </c>
      <c r="D1159" t="s">
        <v>170</v>
      </c>
      <c r="E1159" t="s">
        <v>199</v>
      </c>
      <c r="F1159" t="s">
        <v>223</v>
      </c>
      <c r="G1159" t="s">
        <v>169</v>
      </c>
      <c r="H1159">
        <v>496</v>
      </c>
      <c r="I1159" s="34">
        <f>+POWER_Regional_Daily_20150101_20190305_c11b3312[[#This Row],[Column8]]/100</f>
        <v>4.96</v>
      </c>
      <c r="J1159" s="34"/>
    </row>
    <row r="1160" spans="1:10" x14ac:dyDescent="0.25">
      <c r="A1160" s="34" t="s">
        <v>164</v>
      </c>
      <c r="B1160" s="34" t="s">
        <v>165</v>
      </c>
      <c r="C1160" t="s">
        <v>269</v>
      </c>
      <c r="D1160" t="s">
        <v>170</v>
      </c>
      <c r="E1160" t="s">
        <v>200</v>
      </c>
      <c r="F1160" t="s">
        <v>235</v>
      </c>
      <c r="G1160" t="s">
        <v>169</v>
      </c>
      <c r="H1160">
        <v>505</v>
      </c>
      <c r="I1160" s="34">
        <f>+POWER_Regional_Daily_20150101_20190305_c11b3312[[#This Row],[Column8]]/100</f>
        <v>5.05</v>
      </c>
      <c r="J1160" s="34"/>
    </row>
    <row r="1161" spans="1:10" x14ac:dyDescent="0.25">
      <c r="A1161" s="34" t="s">
        <v>164</v>
      </c>
      <c r="B1161" s="34" t="s">
        <v>165</v>
      </c>
      <c r="C1161" t="s">
        <v>269</v>
      </c>
      <c r="D1161" t="s">
        <v>170</v>
      </c>
      <c r="E1161" t="s">
        <v>202</v>
      </c>
      <c r="F1161" t="s">
        <v>187</v>
      </c>
      <c r="G1161" t="s">
        <v>169</v>
      </c>
      <c r="H1161">
        <v>-999</v>
      </c>
      <c r="I1161" s="34">
        <f>+POWER_Regional_Daily_20150101_20190305_c11b3312[[#This Row],[Column8]]/100</f>
        <v>-9.99</v>
      </c>
      <c r="J1161" s="34"/>
    </row>
    <row r="1162" spans="1:10" x14ac:dyDescent="0.25">
      <c r="A1162" s="34" t="s">
        <v>164</v>
      </c>
      <c r="B1162" s="34" t="s">
        <v>165</v>
      </c>
      <c r="C1162" t="s">
        <v>269</v>
      </c>
      <c r="D1162" t="s">
        <v>170</v>
      </c>
      <c r="E1162" t="s">
        <v>203</v>
      </c>
      <c r="F1162" t="s">
        <v>236</v>
      </c>
      <c r="G1162" t="s">
        <v>169</v>
      </c>
      <c r="H1162">
        <v>526</v>
      </c>
      <c r="I1162" s="34">
        <f>+POWER_Regional_Daily_20150101_20190305_c11b3312[[#This Row],[Column8]]/100</f>
        <v>5.26</v>
      </c>
      <c r="J1162" s="34"/>
    </row>
    <row r="1163" spans="1:10" x14ac:dyDescent="0.25">
      <c r="A1163" s="34" t="s">
        <v>164</v>
      </c>
      <c r="B1163" s="34" t="s">
        <v>165</v>
      </c>
      <c r="C1163" t="s">
        <v>269</v>
      </c>
      <c r="D1163" t="s">
        <v>170</v>
      </c>
      <c r="E1163" t="s">
        <v>205</v>
      </c>
      <c r="F1163" t="s">
        <v>239</v>
      </c>
      <c r="G1163" t="s">
        <v>169</v>
      </c>
      <c r="H1163">
        <v>364</v>
      </c>
      <c r="I1163" s="34">
        <f>+POWER_Regional_Daily_20150101_20190305_c11b3312[[#This Row],[Column8]]/100</f>
        <v>3.64</v>
      </c>
      <c r="J1163" s="34"/>
    </row>
    <row r="1164" spans="1:10" x14ac:dyDescent="0.25">
      <c r="A1164" s="34" t="s">
        <v>164</v>
      </c>
      <c r="B1164" s="34" t="s">
        <v>165</v>
      </c>
      <c r="C1164" t="s">
        <v>269</v>
      </c>
      <c r="D1164" t="s">
        <v>170</v>
      </c>
      <c r="E1164" t="s">
        <v>207</v>
      </c>
      <c r="F1164" t="s">
        <v>246</v>
      </c>
      <c r="G1164" t="s">
        <v>169</v>
      </c>
      <c r="H1164">
        <v>389</v>
      </c>
      <c r="I1164" s="34">
        <f>+POWER_Regional_Daily_20150101_20190305_c11b3312[[#This Row],[Column8]]/100</f>
        <v>3.89</v>
      </c>
      <c r="J1164" s="34"/>
    </row>
    <row r="1165" spans="1:10" x14ac:dyDescent="0.25">
      <c r="A1165" s="34" t="s">
        <v>164</v>
      </c>
      <c r="B1165" s="34" t="s">
        <v>165</v>
      </c>
      <c r="C1165" t="s">
        <v>269</v>
      </c>
      <c r="D1165" t="s">
        <v>170</v>
      </c>
      <c r="E1165" t="s">
        <v>208</v>
      </c>
      <c r="F1165" t="s">
        <v>246</v>
      </c>
      <c r="G1165" t="s">
        <v>169</v>
      </c>
      <c r="H1165">
        <v>385</v>
      </c>
      <c r="I1165" s="34">
        <f>+POWER_Regional_Daily_20150101_20190305_c11b3312[[#This Row],[Column8]]/100</f>
        <v>3.85</v>
      </c>
      <c r="J1165" s="34"/>
    </row>
    <row r="1166" spans="1:10" x14ac:dyDescent="0.25">
      <c r="A1166" s="34" t="s">
        <v>164</v>
      </c>
      <c r="B1166" s="34" t="s">
        <v>165</v>
      </c>
      <c r="C1166" t="s">
        <v>269</v>
      </c>
      <c r="D1166" t="s">
        <v>170</v>
      </c>
      <c r="E1166" t="s">
        <v>210</v>
      </c>
      <c r="F1166" t="s">
        <v>204</v>
      </c>
      <c r="G1166" t="s">
        <v>169</v>
      </c>
      <c r="H1166">
        <v>442</v>
      </c>
      <c r="I1166" s="34">
        <f>+POWER_Regional_Daily_20150101_20190305_c11b3312[[#This Row],[Column8]]/100</f>
        <v>4.42</v>
      </c>
      <c r="J1166" s="34"/>
    </row>
    <row r="1167" spans="1:10" x14ac:dyDescent="0.25">
      <c r="A1167" s="34" t="s">
        <v>164</v>
      </c>
      <c r="B1167" s="34" t="s">
        <v>165</v>
      </c>
      <c r="C1167" t="s">
        <v>269</v>
      </c>
      <c r="D1167" t="s">
        <v>170</v>
      </c>
      <c r="E1167" t="s">
        <v>212</v>
      </c>
      <c r="F1167" t="s">
        <v>213</v>
      </c>
      <c r="G1167" t="s">
        <v>169</v>
      </c>
      <c r="H1167">
        <v>567</v>
      </c>
      <c r="I1167" s="34">
        <f>+POWER_Regional_Daily_20150101_20190305_c11b3312[[#This Row],[Column8]]/100</f>
        <v>5.67</v>
      </c>
      <c r="J1167" s="34"/>
    </row>
    <row r="1168" spans="1:10" x14ac:dyDescent="0.25">
      <c r="A1168" s="34" t="s">
        <v>164</v>
      </c>
      <c r="B1168" s="34" t="s">
        <v>165</v>
      </c>
      <c r="C1168" t="s">
        <v>269</v>
      </c>
      <c r="D1168" t="s">
        <v>170</v>
      </c>
      <c r="E1168" t="s">
        <v>214</v>
      </c>
      <c r="F1168" t="s">
        <v>235</v>
      </c>
      <c r="G1168" t="s">
        <v>169</v>
      </c>
      <c r="H1168">
        <v>513</v>
      </c>
      <c r="I1168" s="34">
        <f>+POWER_Regional_Daily_20150101_20190305_c11b3312[[#This Row],[Column8]]/100</f>
        <v>5.13</v>
      </c>
      <c r="J1168" s="34"/>
    </row>
    <row r="1169" spans="1:10" x14ac:dyDescent="0.25">
      <c r="A1169" s="34" t="s">
        <v>164</v>
      </c>
      <c r="B1169" s="34" t="s">
        <v>165</v>
      </c>
      <c r="C1169" t="s">
        <v>269</v>
      </c>
      <c r="D1169" t="s">
        <v>170</v>
      </c>
      <c r="E1169" t="s">
        <v>215</v>
      </c>
      <c r="F1169" t="s">
        <v>222</v>
      </c>
      <c r="G1169" t="s">
        <v>169</v>
      </c>
      <c r="H1169">
        <v>553</v>
      </c>
      <c r="I1169" s="34">
        <f>+POWER_Regional_Daily_20150101_20190305_c11b3312[[#This Row],[Column8]]/100</f>
        <v>5.53</v>
      </c>
      <c r="J1169" s="34"/>
    </row>
    <row r="1170" spans="1:10" x14ac:dyDescent="0.25">
      <c r="A1170" s="34" t="s">
        <v>164</v>
      </c>
      <c r="B1170" s="34" t="s">
        <v>165</v>
      </c>
      <c r="C1170" t="s">
        <v>269</v>
      </c>
      <c r="D1170" t="s">
        <v>172</v>
      </c>
      <c r="E1170" t="s">
        <v>167</v>
      </c>
      <c r="F1170" t="s">
        <v>189</v>
      </c>
      <c r="G1170" t="s">
        <v>169</v>
      </c>
      <c r="H1170">
        <v>607</v>
      </c>
      <c r="I1170" s="34">
        <f>+POWER_Regional_Daily_20150101_20190305_c11b3312[[#This Row],[Column8]]/100</f>
        <v>6.07</v>
      </c>
      <c r="J1170" s="34"/>
    </row>
    <row r="1171" spans="1:10" x14ac:dyDescent="0.25">
      <c r="A1171" s="34" t="s">
        <v>164</v>
      </c>
      <c r="B1171" s="34" t="s">
        <v>165</v>
      </c>
      <c r="C1171" t="s">
        <v>269</v>
      </c>
      <c r="D1171" t="s">
        <v>172</v>
      </c>
      <c r="E1171" t="s">
        <v>170</v>
      </c>
      <c r="F1171" t="s">
        <v>241</v>
      </c>
      <c r="G1171" t="s">
        <v>169</v>
      </c>
      <c r="H1171">
        <v>295</v>
      </c>
      <c r="I1171" s="34">
        <f>+POWER_Regional_Daily_20150101_20190305_c11b3312[[#This Row],[Column8]]/100</f>
        <v>2.95</v>
      </c>
      <c r="J1171" s="34"/>
    </row>
    <row r="1172" spans="1:10" x14ac:dyDescent="0.25">
      <c r="A1172" s="34" t="s">
        <v>164</v>
      </c>
      <c r="B1172" s="34" t="s">
        <v>165</v>
      </c>
      <c r="C1172" t="s">
        <v>269</v>
      </c>
      <c r="D1172" t="s">
        <v>172</v>
      </c>
      <c r="E1172" t="s">
        <v>172</v>
      </c>
      <c r="F1172" t="s">
        <v>195</v>
      </c>
      <c r="G1172" t="s">
        <v>169</v>
      </c>
      <c r="H1172">
        <v>485</v>
      </c>
      <c r="I1172" s="34">
        <f>+POWER_Regional_Daily_20150101_20190305_c11b3312[[#This Row],[Column8]]/100</f>
        <v>4.8499999999999996</v>
      </c>
      <c r="J1172" s="34"/>
    </row>
    <row r="1173" spans="1:10" x14ac:dyDescent="0.25">
      <c r="A1173" s="34" t="s">
        <v>164</v>
      </c>
      <c r="B1173" s="34" t="s">
        <v>165</v>
      </c>
      <c r="C1173" t="s">
        <v>269</v>
      </c>
      <c r="D1173" t="s">
        <v>172</v>
      </c>
      <c r="E1173" t="s">
        <v>174</v>
      </c>
      <c r="F1173" t="s">
        <v>239</v>
      </c>
      <c r="G1173" t="s">
        <v>169</v>
      </c>
      <c r="H1173">
        <v>370</v>
      </c>
      <c r="I1173" s="34">
        <f>+POWER_Regional_Daily_20150101_20190305_c11b3312[[#This Row],[Column8]]/100</f>
        <v>3.7</v>
      </c>
      <c r="J1173" s="34"/>
    </row>
    <row r="1174" spans="1:10" x14ac:dyDescent="0.25">
      <c r="A1174" s="34" t="s">
        <v>164</v>
      </c>
      <c r="B1174" s="34" t="s">
        <v>165</v>
      </c>
      <c r="C1174" t="s">
        <v>269</v>
      </c>
      <c r="D1174" t="s">
        <v>172</v>
      </c>
      <c r="E1174" t="s">
        <v>175</v>
      </c>
      <c r="F1174" t="s">
        <v>246</v>
      </c>
      <c r="G1174" t="s">
        <v>169</v>
      </c>
      <c r="H1174">
        <v>392</v>
      </c>
      <c r="I1174" s="34">
        <f>+POWER_Regional_Daily_20150101_20190305_c11b3312[[#This Row],[Column8]]/100</f>
        <v>3.92</v>
      </c>
      <c r="J1174" s="34"/>
    </row>
    <row r="1175" spans="1:10" x14ac:dyDescent="0.25">
      <c r="A1175" s="34" t="s">
        <v>164</v>
      </c>
      <c r="B1175" s="34" t="s">
        <v>165</v>
      </c>
      <c r="C1175" t="s">
        <v>269</v>
      </c>
      <c r="D1175" t="s">
        <v>172</v>
      </c>
      <c r="E1175" t="s">
        <v>177</v>
      </c>
      <c r="F1175" t="s">
        <v>221</v>
      </c>
      <c r="G1175" t="s">
        <v>169</v>
      </c>
      <c r="H1175">
        <v>427</v>
      </c>
      <c r="I1175" s="34">
        <f>+POWER_Regional_Daily_20150101_20190305_c11b3312[[#This Row],[Column8]]/100</f>
        <v>4.2699999999999996</v>
      </c>
      <c r="J1175" s="34"/>
    </row>
    <row r="1176" spans="1:10" x14ac:dyDescent="0.25">
      <c r="A1176" s="34" t="s">
        <v>164</v>
      </c>
      <c r="B1176" s="34" t="s">
        <v>165</v>
      </c>
      <c r="C1176" t="s">
        <v>269</v>
      </c>
      <c r="D1176" t="s">
        <v>172</v>
      </c>
      <c r="E1176" t="s">
        <v>178</v>
      </c>
      <c r="F1176" t="s">
        <v>183</v>
      </c>
      <c r="G1176" t="s">
        <v>169</v>
      </c>
      <c r="H1176">
        <v>594</v>
      </c>
      <c r="I1176" s="34">
        <f>+POWER_Regional_Daily_20150101_20190305_c11b3312[[#This Row],[Column8]]/100</f>
        <v>5.94</v>
      </c>
      <c r="J1176" s="34"/>
    </row>
    <row r="1177" spans="1:10" x14ac:dyDescent="0.25">
      <c r="A1177" s="34" t="s">
        <v>164</v>
      </c>
      <c r="B1177" s="34" t="s">
        <v>165</v>
      </c>
      <c r="C1177" t="s">
        <v>269</v>
      </c>
      <c r="D1177" t="s">
        <v>172</v>
      </c>
      <c r="E1177" t="s">
        <v>180</v>
      </c>
      <c r="F1177" t="s">
        <v>187</v>
      </c>
      <c r="G1177" t="s">
        <v>169</v>
      </c>
      <c r="H1177">
        <v>-999</v>
      </c>
      <c r="I1177" s="34">
        <f>+POWER_Regional_Daily_20150101_20190305_c11b3312[[#This Row],[Column8]]/100</f>
        <v>-9.99</v>
      </c>
      <c r="J1177" s="34"/>
    </row>
    <row r="1178" spans="1:10" x14ac:dyDescent="0.25">
      <c r="A1178" s="34" t="s">
        <v>164</v>
      </c>
      <c r="B1178" s="34" t="s">
        <v>165</v>
      </c>
      <c r="C1178" t="s">
        <v>269</v>
      </c>
      <c r="D1178" t="s">
        <v>172</v>
      </c>
      <c r="E1178" t="s">
        <v>182</v>
      </c>
      <c r="F1178" t="s">
        <v>209</v>
      </c>
      <c r="G1178" t="s">
        <v>169</v>
      </c>
      <c r="H1178">
        <v>525</v>
      </c>
      <c r="I1178" s="34">
        <f>+POWER_Regional_Daily_20150101_20190305_c11b3312[[#This Row],[Column8]]/100</f>
        <v>5.25</v>
      </c>
      <c r="J1178" s="34"/>
    </row>
    <row r="1179" spans="1:10" x14ac:dyDescent="0.25">
      <c r="A1179" s="34" t="s">
        <v>164</v>
      </c>
      <c r="B1179" s="34" t="s">
        <v>165</v>
      </c>
      <c r="C1179" t="s">
        <v>269</v>
      </c>
      <c r="D1179" t="s">
        <v>172</v>
      </c>
      <c r="E1179" t="s">
        <v>184</v>
      </c>
      <c r="F1179" t="s">
        <v>168</v>
      </c>
      <c r="G1179" t="s">
        <v>169</v>
      </c>
      <c r="H1179">
        <v>646</v>
      </c>
      <c r="I1179" s="34">
        <f>+POWER_Regional_Daily_20150101_20190305_c11b3312[[#This Row],[Column8]]/100</f>
        <v>6.46</v>
      </c>
      <c r="J1179" s="34"/>
    </row>
    <row r="1180" spans="1:10" x14ac:dyDescent="0.25">
      <c r="A1180" s="34" t="s">
        <v>164</v>
      </c>
      <c r="B1180" s="34" t="s">
        <v>165</v>
      </c>
      <c r="C1180" t="s">
        <v>269</v>
      </c>
      <c r="D1180" t="s">
        <v>172</v>
      </c>
      <c r="E1180" t="s">
        <v>186</v>
      </c>
      <c r="F1180" t="s">
        <v>248</v>
      </c>
      <c r="G1180" t="s">
        <v>318</v>
      </c>
      <c r="H1180">
        <v>693</v>
      </c>
      <c r="I1180" s="34">
        <f>+POWER_Regional_Daily_20150101_20190305_c11b3312[[#This Row],[Column8]]/100</f>
        <v>6.93</v>
      </c>
      <c r="J1180" s="34"/>
    </row>
    <row r="1181" spans="1:10" x14ac:dyDescent="0.25">
      <c r="A1181" s="34" t="s">
        <v>164</v>
      </c>
      <c r="B1181" s="34" t="s">
        <v>165</v>
      </c>
      <c r="C1181" t="s">
        <v>269</v>
      </c>
      <c r="D1181" t="s">
        <v>172</v>
      </c>
      <c r="E1181" t="s">
        <v>188</v>
      </c>
      <c r="F1181" t="s">
        <v>232</v>
      </c>
      <c r="G1181" t="s">
        <v>169</v>
      </c>
      <c r="H1181">
        <v>624</v>
      </c>
      <c r="I1181" s="34">
        <f>+POWER_Regional_Daily_20150101_20190305_c11b3312[[#This Row],[Column8]]/100</f>
        <v>6.24</v>
      </c>
      <c r="J1181" s="34"/>
    </row>
    <row r="1182" spans="1:10" x14ac:dyDescent="0.25">
      <c r="A1182" s="34" t="s">
        <v>164</v>
      </c>
      <c r="B1182" s="34" t="s">
        <v>165</v>
      </c>
      <c r="C1182" t="s">
        <v>269</v>
      </c>
      <c r="D1182" t="s">
        <v>172</v>
      </c>
      <c r="E1182" t="s">
        <v>190</v>
      </c>
      <c r="F1182" t="s">
        <v>209</v>
      </c>
      <c r="G1182" t="s">
        <v>169</v>
      </c>
      <c r="H1182">
        <v>536</v>
      </c>
      <c r="I1182" s="34">
        <f>+POWER_Regional_Daily_20150101_20190305_c11b3312[[#This Row],[Column8]]/100</f>
        <v>5.36</v>
      </c>
      <c r="J1182" s="34"/>
    </row>
    <row r="1183" spans="1:10" x14ac:dyDescent="0.25">
      <c r="A1183" s="34" t="s">
        <v>164</v>
      </c>
      <c r="B1183" s="34" t="s">
        <v>165</v>
      </c>
      <c r="C1183" t="s">
        <v>269</v>
      </c>
      <c r="D1183" t="s">
        <v>172</v>
      </c>
      <c r="E1183" t="s">
        <v>192</v>
      </c>
      <c r="F1183" t="s">
        <v>181</v>
      </c>
      <c r="G1183" t="s">
        <v>169</v>
      </c>
      <c r="H1183">
        <v>587</v>
      </c>
      <c r="I1183" s="34">
        <f>+POWER_Regional_Daily_20150101_20190305_c11b3312[[#This Row],[Column8]]/100</f>
        <v>5.87</v>
      </c>
      <c r="J1183" s="34"/>
    </row>
    <row r="1184" spans="1:10" x14ac:dyDescent="0.25">
      <c r="A1184" s="34" t="s">
        <v>164</v>
      </c>
      <c r="B1184" s="34" t="s">
        <v>165</v>
      </c>
      <c r="C1184" t="s">
        <v>269</v>
      </c>
      <c r="D1184" t="s">
        <v>172</v>
      </c>
      <c r="E1184" t="s">
        <v>194</v>
      </c>
      <c r="F1184" t="s">
        <v>257</v>
      </c>
      <c r="G1184" t="s">
        <v>169</v>
      </c>
      <c r="H1184">
        <v>201</v>
      </c>
      <c r="I1184" s="34">
        <f>+POWER_Regional_Daily_20150101_20190305_c11b3312[[#This Row],[Column8]]/100</f>
        <v>2.0099999999999998</v>
      </c>
      <c r="J1184" s="34"/>
    </row>
    <row r="1185" spans="1:10" x14ac:dyDescent="0.25">
      <c r="A1185" s="34" t="s">
        <v>164</v>
      </c>
      <c r="B1185" s="34" t="s">
        <v>165</v>
      </c>
      <c r="C1185" t="s">
        <v>269</v>
      </c>
      <c r="D1185" t="s">
        <v>172</v>
      </c>
      <c r="E1185" t="s">
        <v>196</v>
      </c>
      <c r="F1185" t="s">
        <v>204</v>
      </c>
      <c r="G1185" t="s">
        <v>169</v>
      </c>
      <c r="H1185">
        <v>450</v>
      </c>
      <c r="I1185" s="34">
        <f>+POWER_Regional_Daily_20150101_20190305_c11b3312[[#This Row],[Column8]]/100</f>
        <v>4.5</v>
      </c>
      <c r="J1185" s="34"/>
    </row>
    <row r="1186" spans="1:10" x14ac:dyDescent="0.25">
      <c r="A1186" s="34" t="s">
        <v>164</v>
      </c>
      <c r="B1186" s="34" t="s">
        <v>165</v>
      </c>
      <c r="C1186" t="s">
        <v>269</v>
      </c>
      <c r="D1186" t="s">
        <v>172</v>
      </c>
      <c r="E1186" t="s">
        <v>198</v>
      </c>
      <c r="F1186" t="s">
        <v>197</v>
      </c>
      <c r="G1186" t="s">
        <v>169</v>
      </c>
      <c r="H1186">
        <v>463</v>
      </c>
      <c r="I1186" s="34">
        <f>+POWER_Regional_Daily_20150101_20190305_c11b3312[[#This Row],[Column8]]/100</f>
        <v>4.63</v>
      </c>
      <c r="J1186" s="34"/>
    </row>
    <row r="1187" spans="1:10" x14ac:dyDescent="0.25">
      <c r="A1187" s="34" t="s">
        <v>164</v>
      </c>
      <c r="B1187" s="34" t="s">
        <v>165</v>
      </c>
      <c r="C1187" t="s">
        <v>269</v>
      </c>
      <c r="D1187" t="s">
        <v>172</v>
      </c>
      <c r="E1187" t="s">
        <v>199</v>
      </c>
      <c r="F1187" t="s">
        <v>233</v>
      </c>
      <c r="G1187" t="s">
        <v>169</v>
      </c>
      <c r="H1187">
        <v>484</v>
      </c>
      <c r="I1187" s="34">
        <f>+POWER_Regional_Daily_20150101_20190305_c11b3312[[#This Row],[Column8]]/100</f>
        <v>4.84</v>
      </c>
      <c r="J1187" s="34"/>
    </row>
    <row r="1188" spans="1:10" x14ac:dyDescent="0.25">
      <c r="A1188" s="34" t="s">
        <v>164</v>
      </c>
      <c r="B1188" s="34" t="s">
        <v>165</v>
      </c>
      <c r="C1188" t="s">
        <v>269</v>
      </c>
      <c r="D1188" t="s">
        <v>172</v>
      </c>
      <c r="E1188" t="s">
        <v>200</v>
      </c>
      <c r="F1188" t="s">
        <v>224</v>
      </c>
      <c r="G1188" t="s">
        <v>169</v>
      </c>
      <c r="H1188">
        <v>466</v>
      </c>
      <c r="I1188" s="34">
        <f>+POWER_Regional_Daily_20150101_20190305_c11b3312[[#This Row],[Column8]]/100</f>
        <v>4.66</v>
      </c>
      <c r="J1188" s="34"/>
    </row>
    <row r="1189" spans="1:10" x14ac:dyDescent="0.25">
      <c r="A1189" s="34" t="s">
        <v>164</v>
      </c>
      <c r="B1189" s="34" t="s">
        <v>165</v>
      </c>
      <c r="C1189" t="s">
        <v>269</v>
      </c>
      <c r="D1189" t="s">
        <v>172</v>
      </c>
      <c r="E1189" t="s">
        <v>202</v>
      </c>
      <c r="F1189" t="s">
        <v>191</v>
      </c>
      <c r="G1189" t="s">
        <v>169</v>
      </c>
      <c r="H1189">
        <v>354</v>
      </c>
      <c r="I1189" s="34">
        <f>+POWER_Regional_Daily_20150101_20190305_c11b3312[[#This Row],[Column8]]/100</f>
        <v>3.54</v>
      </c>
      <c r="J1189" s="34"/>
    </row>
    <row r="1190" spans="1:10" x14ac:dyDescent="0.25">
      <c r="A1190" s="34" t="s">
        <v>164</v>
      </c>
      <c r="B1190" s="34" t="s">
        <v>165</v>
      </c>
      <c r="C1190" t="s">
        <v>269</v>
      </c>
      <c r="D1190" t="s">
        <v>172</v>
      </c>
      <c r="E1190" t="s">
        <v>203</v>
      </c>
      <c r="F1190" t="s">
        <v>223</v>
      </c>
      <c r="G1190" t="s">
        <v>169</v>
      </c>
      <c r="H1190">
        <v>516</v>
      </c>
      <c r="I1190" s="34">
        <f>+POWER_Regional_Daily_20150101_20190305_c11b3312[[#This Row],[Column8]]/100</f>
        <v>5.16</v>
      </c>
      <c r="J1190" s="34"/>
    </row>
    <row r="1191" spans="1:10" x14ac:dyDescent="0.25">
      <c r="A1191" s="34" t="s">
        <v>164</v>
      </c>
      <c r="B1191" s="34" t="s">
        <v>165</v>
      </c>
      <c r="C1191" t="s">
        <v>269</v>
      </c>
      <c r="D1191" t="s">
        <v>172</v>
      </c>
      <c r="E1191" t="s">
        <v>205</v>
      </c>
      <c r="F1191" t="s">
        <v>206</v>
      </c>
      <c r="G1191" t="s">
        <v>169</v>
      </c>
      <c r="H1191">
        <v>404</v>
      </c>
      <c r="I1191" s="34">
        <f>+POWER_Regional_Daily_20150101_20190305_c11b3312[[#This Row],[Column8]]/100</f>
        <v>4.04</v>
      </c>
      <c r="J1191" s="34"/>
    </row>
    <row r="1192" spans="1:10" x14ac:dyDescent="0.25">
      <c r="A1192" s="34" t="s">
        <v>164</v>
      </c>
      <c r="B1192" s="34" t="s">
        <v>165</v>
      </c>
      <c r="C1192" t="s">
        <v>269</v>
      </c>
      <c r="D1192" t="s">
        <v>172</v>
      </c>
      <c r="E1192" t="s">
        <v>207</v>
      </c>
      <c r="F1192" t="s">
        <v>197</v>
      </c>
      <c r="G1192" t="s">
        <v>169</v>
      </c>
      <c r="H1192">
        <v>463</v>
      </c>
      <c r="I1192" s="34">
        <f>+POWER_Regional_Daily_20150101_20190305_c11b3312[[#This Row],[Column8]]/100</f>
        <v>4.63</v>
      </c>
      <c r="J1192" s="34"/>
    </row>
    <row r="1193" spans="1:10" x14ac:dyDescent="0.25">
      <c r="A1193" s="34" t="s">
        <v>164</v>
      </c>
      <c r="B1193" s="34" t="s">
        <v>165</v>
      </c>
      <c r="C1193" t="s">
        <v>269</v>
      </c>
      <c r="D1193" t="s">
        <v>172</v>
      </c>
      <c r="E1193" t="s">
        <v>208</v>
      </c>
      <c r="F1193" t="s">
        <v>187</v>
      </c>
      <c r="G1193" t="s">
        <v>169</v>
      </c>
      <c r="H1193">
        <v>-999</v>
      </c>
      <c r="I1193" s="34">
        <f>+POWER_Regional_Daily_20150101_20190305_c11b3312[[#This Row],[Column8]]/100</f>
        <v>-9.99</v>
      </c>
      <c r="J1193" s="34"/>
    </row>
    <row r="1194" spans="1:10" x14ac:dyDescent="0.25">
      <c r="A1194" s="34" t="s">
        <v>164</v>
      </c>
      <c r="B1194" s="34" t="s">
        <v>165</v>
      </c>
      <c r="C1194" t="s">
        <v>269</v>
      </c>
      <c r="D1194" t="s">
        <v>172</v>
      </c>
      <c r="E1194" t="s">
        <v>210</v>
      </c>
      <c r="F1194" t="s">
        <v>235</v>
      </c>
      <c r="G1194" t="s">
        <v>169</v>
      </c>
      <c r="H1194">
        <v>526</v>
      </c>
      <c r="I1194" s="34">
        <f>+POWER_Regional_Daily_20150101_20190305_c11b3312[[#This Row],[Column8]]/100</f>
        <v>5.26</v>
      </c>
      <c r="J1194" s="34"/>
    </row>
    <row r="1195" spans="1:10" x14ac:dyDescent="0.25">
      <c r="A1195" s="34" t="s">
        <v>164</v>
      </c>
      <c r="B1195" s="34" t="s">
        <v>165</v>
      </c>
      <c r="C1195" t="s">
        <v>269</v>
      </c>
      <c r="D1195" t="s">
        <v>172</v>
      </c>
      <c r="E1195" t="s">
        <v>212</v>
      </c>
      <c r="F1195" t="s">
        <v>193</v>
      </c>
      <c r="G1195" t="s">
        <v>169</v>
      </c>
      <c r="H1195">
        <v>422</v>
      </c>
      <c r="I1195" s="34">
        <f>+POWER_Regional_Daily_20150101_20190305_c11b3312[[#This Row],[Column8]]/100</f>
        <v>4.22</v>
      </c>
      <c r="J1195" s="34"/>
    </row>
    <row r="1196" spans="1:10" x14ac:dyDescent="0.25">
      <c r="A1196" s="34" t="s">
        <v>164</v>
      </c>
      <c r="B1196" s="34" t="s">
        <v>165</v>
      </c>
      <c r="C1196" t="s">
        <v>269</v>
      </c>
      <c r="D1196" t="s">
        <v>172</v>
      </c>
      <c r="E1196" t="s">
        <v>214</v>
      </c>
      <c r="F1196" t="s">
        <v>197</v>
      </c>
      <c r="G1196" t="s">
        <v>169</v>
      </c>
      <c r="H1196">
        <v>459</v>
      </c>
      <c r="I1196" s="34">
        <f>+POWER_Regional_Daily_20150101_20190305_c11b3312[[#This Row],[Column8]]/100</f>
        <v>4.59</v>
      </c>
      <c r="J1196" s="34"/>
    </row>
    <row r="1197" spans="1:10" x14ac:dyDescent="0.25">
      <c r="A1197" s="34" t="s">
        <v>164</v>
      </c>
      <c r="B1197" s="34" t="s">
        <v>165</v>
      </c>
      <c r="C1197" t="s">
        <v>269</v>
      </c>
      <c r="D1197" t="s">
        <v>172</v>
      </c>
      <c r="E1197" t="s">
        <v>215</v>
      </c>
      <c r="F1197" t="s">
        <v>229</v>
      </c>
      <c r="G1197" t="s">
        <v>169</v>
      </c>
      <c r="H1197">
        <v>370</v>
      </c>
      <c r="I1197" s="34">
        <f>+POWER_Regional_Daily_20150101_20190305_c11b3312[[#This Row],[Column8]]/100</f>
        <v>3.7</v>
      </c>
      <c r="J1197" s="34"/>
    </row>
    <row r="1198" spans="1:10" x14ac:dyDescent="0.25">
      <c r="A1198" s="34" t="s">
        <v>164</v>
      </c>
      <c r="B1198" s="34" t="s">
        <v>165</v>
      </c>
      <c r="C1198" t="s">
        <v>269</v>
      </c>
      <c r="D1198" t="s">
        <v>172</v>
      </c>
      <c r="E1198" t="s">
        <v>217</v>
      </c>
      <c r="F1198" t="s">
        <v>267</v>
      </c>
      <c r="G1198" t="s">
        <v>169</v>
      </c>
      <c r="H1198">
        <v>164</v>
      </c>
      <c r="I1198" s="34">
        <f>+POWER_Regional_Daily_20150101_20190305_c11b3312[[#This Row],[Column8]]/100</f>
        <v>1.64</v>
      </c>
      <c r="J1198" s="34"/>
    </row>
    <row r="1199" spans="1:10" x14ac:dyDescent="0.25">
      <c r="A1199" s="34" t="s">
        <v>164</v>
      </c>
      <c r="B1199" s="34" t="s">
        <v>165</v>
      </c>
      <c r="C1199" t="s">
        <v>269</v>
      </c>
      <c r="D1199" t="s">
        <v>172</v>
      </c>
      <c r="E1199" t="s">
        <v>219</v>
      </c>
      <c r="F1199" t="s">
        <v>257</v>
      </c>
      <c r="G1199" t="s">
        <v>169</v>
      </c>
      <c r="H1199">
        <v>196</v>
      </c>
      <c r="I1199" s="34">
        <f>+POWER_Regional_Daily_20150101_20190305_c11b3312[[#This Row],[Column8]]/100</f>
        <v>1.96</v>
      </c>
      <c r="J1199" s="34"/>
    </row>
    <row r="1200" spans="1:10" x14ac:dyDescent="0.25">
      <c r="A1200" s="34" t="s">
        <v>164</v>
      </c>
      <c r="B1200" s="34" t="s">
        <v>165</v>
      </c>
      <c r="C1200" t="s">
        <v>269</v>
      </c>
      <c r="D1200" t="s">
        <v>172</v>
      </c>
      <c r="E1200" t="s">
        <v>220</v>
      </c>
      <c r="F1200" t="s">
        <v>211</v>
      </c>
      <c r="G1200" t="s">
        <v>169</v>
      </c>
      <c r="H1200">
        <v>446</v>
      </c>
      <c r="I1200" s="34">
        <f>+POWER_Regional_Daily_20150101_20190305_c11b3312[[#This Row],[Column8]]/100</f>
        <v>4.46</v>
      </c>
      <c r="J1200" s="34"/>
    </row>
    <row r="1201" spans="1:10" x14ac:dyDescent="0.25">
      <c r="A1201" s="34" t="s">
        <v>164</v>
      </c>
      <c r="B1201" s="34" t="s">
        <v>165</v>
      </c>
      <c r="C1201" t="s">
        <v>269</v>
      </c>
      <c r="D1201" t="s">
        <v>174</v>
      </c>
      <c r="E1201" t="s">
        <v>167</v>
      </c>
      <c r="F1201" t="s">
        <v>246</v>
      </c>
      <c r="G1201" t="s">
        <v>169</v>
      </c>
      <c r="H1201">
        <v>403</v>
      </c>
      <c r="I1201" s="34">
        <f>+POWER_Regional_Daily_20150101_20190305_c11b3312[[#This Row],[Column8]]/100</f>
        <v>4.03</v>
      </c>
      <c r="J1201" s="34"/>
    </row>
    <row r="1202" spans="1:10" x14ac:dyDescent="0.25">
      <c r="A1202" s="34" t="s">
        <v>164</v>
      </c>
      <c r="B1202" s="34" t="s">
        <v>165</v>
      </c>
      <c r="C1202" t="s">
        <v>269</v>
      </c>
      <c r="D1202" t="s">
        <v>174</v>
      </c>
      <c r="E1202" t="s">
        <v>170</v>
      </c>
      <c r="F1202" t="s">
        <v>256</v>
      </c>
      <c r="G1202" t="s">
        <v>169</v>
      </c>
      <c r="H1202">
        <v>237</v>
      </c>
      <c r="I1202" s="34">
        <f>+POWER_Regional_Daily_20150101_20190305_c11b3312[[#This Row],[Column8]]/100</f>
        <v>2.37</v>
      </c>
      <c r="J1202" s="34"/>
    </row>
    <row r="1203" spans="1:10" x14ac:dyDescent="0.25">
      <c r="A1203" s="34" t="s">
        <v>164</v>
      </c>
      <c r="B1203" s="34" t="s">
        <v>165</v>
      </c>
      <c r="C1203" t="s">
        <v>269</v>
      </c>
      <c r="D1203" t="s">
        <v>174</v>
      </c>
      <c r="E1203" t="s">
        <v>172</v>
      </c>
      <c r="F1203" t="s">
        <v>243</v>
      </c>
      <c r="G1203" t="s">
        <v>169</v>
      </c>
      <c r="H1203">
        <v>320</v>
      </c>
      <c r="I1203" s="34">
        <f>+POWER_Regional_Daily_20150101_20190305_c11b3312[[#This Row],[Column8]]/100</f>
        <v>3.2</v>
      </c>
      <c r="J1203" s="34"/>
    </row>
    <row r="1204" spans="1:10" x14ac:dyDescent="0.25">
      <c r="A1204" s="34" t="s">
        <v>164</v>
      </c>
      <c r="B1204" s="34" t="s">
        <v>165</v>
      </c>
      <c r="C1204" t="s">
        <v>269</v>
      </c>
      <c r="D1204" t="s">
        <v>174</v>
      </c>
      <c r="E1204" t="s">
        <v>174</v>
      </c>
      <c r="F1204" t="s">
        <v>230</v>
      </c>
      <c r="G1204" t="s">
        <v>169</v>
      </c>
      <c r="H1204">
        <v>385</v>
      </c>
      <c r="I1204" s="34">
        <f>+POWER_Regional_Daily_20150101_20190305_c11b3312[[#This Row],[Column8]]/100</f>
        <v>3.85</v>
      </c>
      <c r="J1204" s="34"/>
    </row>
    <row r="1205" spans="1:10" x14ac:dyDescent="0.25">
      <c r="A1205" s="34" t="s">
        <v>164</v>
      </c>
      <c r="B1205" s="34" t="s">
        <v>165</v>
      </c>
      <c r="C1205" t="s">
        <v>269</v>
      </c>
      <c r="D1205" t="s">
        <v>174</v>
      </c>
      <c r="E1205" t="s">
        <v>175</v>
      </c>
      <c r="F1205" t="s">
        <v>223</v>
      </c>
      <c r="G1205" t="s">
        <v>169</v>
      </c>
      <c r="H1205">
        <v>516</v>
      </c>
      <c r="I1205" s="34">
        <f>+POWER_Regional_Daily_20150101_20190305_c11b3312[[#This Row],[Column8]]/100</f>
        <v>5.16</v>
      </c>
      <c r="J1205" s="34"/>
    </row>
    <row r="1206" spans="1:10" x14ac:dyDescent="0.25">
      <c r="A1206" s="34" t="s">
        <v>164</v>
      </c>
      <c r="B1206" s="34" t="s">
        <v>165</v>
      </c>
      <c r="C1206" t="s">
        <v>269</v>
      </c>
      <c r="D1206" t="s">
        <v>174</v>
      </c>
      <c r="E1206" t="s">
        <v>177</v>
      </c>
      <c r="F1206" t="s">
        <v>240</v>
      </c>
      <c r="G1206" t="s">
        <v>169</v>
      </c>
      <c r="H1206">
        <v>292</v>
      </c>
      <c r="I1206" s="34">
        <f>+POWER_Regional_Daily_20150101_20190305_c11b3312[[#This Row],[Column8]]/100</f>
        <v>2.92</v>
      </c>
      <c r="J1206" s="34"/>
    </row>
    <row r="1207" spans="1:10" x14ac:dyDescent="0.25">
      <c r="A1207" s="34" t="s">
        <v>164</v>
      </c>
      <c r="B1207" s="34" t="s">
        <v>165</v>
      </c>
      <c r="C1207" t="s">
        <v>269</v>
      </c>
      <c r="D1207" t="s">
        <v>174</v>
      </c>
      <c r="E1207" t="s">
        <v>178</v>
      </c>
      <c r="F1207" t="s">
        <v>236</v>
      </c>
      <c r="G1207" t="s">
        <v>169</v>
      </c>
      <c r="H1207">
        <v>542</v>
      </c>
      <c r="I1207" s="34">
        <f>+POWER_Regional_Daily_20150101_20190305_c11b3312[[#This Row],[Column8]]/100</f>
        <v>5.42</v>
      </c>
      <c r="J1207" s="34"/>
    </row>
    <row r="1208" spans="1:10" x14ac:dyDescent="0.25">
      <c r="A1208" s="34" t="s">
        <v>164</v>
      </c>
      <c r="B1208" s="34" t="s">
        <v>165</v>
      </c>
      <c r="C1208" t="s">
        <v>269</v>
      </c>
      <c r="D1208" t="s">
        <v>174</v>
      </c>
      <c r="E1208" t="s">
        <v>180</v>
      </c>
      <c r="F1208" t="s">
        <v>213</v>
      </c>
      <c r="G1208" t="s">
        <v>169</v>
      </c>
      <c r="H1208">
        <v>579</v>
      </c>
      <c r="I1208" s="34">
        <f>+POWER_Regional_Daily_20150101_20190305_c11b3312[[#This Row],[Column8]]/100</f>
        <v>5.79</v>
      </c>
      <c r="J1208" s="34"/>
    </row>
    <row r="1209" spans="1:10" x14ac:dyDescent="0.25">
      <c r="A1209" s="34" t="s">
        <v>164</v>
      </c>
      <c r="B1209" s="34" t="s">
        <v>165</v>
      </c>
      <c r="C1209" t="s">
        <v>269</v>
      </c>
      <c r="D1209" t="s">
        <v>174</v>
      </c>
      <c r="E1209" t="s">
        <v>182</v>
      </c>
      <c r="F1209" t="s">
        <v>187</v>
      </c>
      <c r="G1209" t="s">
        <v>169</v>
      </c>
      <c r="H1209">
        <v>-999</v>
      </c>
      <c r="I1209" s="34">
        <f>+POWER_Regional_Daily_20150101_20190305_c11b3312[[#This Row],[Column8]]/100</f>
        <v>-9.99</v>
      </c>
      <c r="J1209" s="34"/>
    </row>
    <row r="1210" spans="1:10" x14ac:dyDescent="0.25">
      <c r="A1210" s="34" t="s">
        <v>164</v>
      </c>
      <c r="B1210" s="34" t="s">
        <v>165</v>
      </c>
      <c r="C1210" t="s">
        <v>269</v>
      </c>
      <c r="D1210" t="s">
        <v>174</v>
      </c>
      <c r="E1210" t="s">
        <v>184</v>
      </c>
      <c r="F1210" t="s">
        <v>246</v>
      </c>
      <c r="G1210" t="s">
        <v>169</v>
      </c>
      <c r="H1210">
        <v>400</v>
      </c>
      <c r="I1210" s="34">
        <f>+POWER_Regional_Daily_20150101_20190305_c11b3312[[#This Row],[Column8]]/100</f>
        <v>4</v>
      </c>
      <c r="J1210" s="34"/>
    </row>
    <row r="1211" spans="1:10" x14ac:dyDescent="0.25">
      <c r="A1211" s="34" t="s">
        <v>164</v>
      </c>
      <c r="B1211" s="34" t="s">
        <v>165</v>
      </c>
      <c r="C1211" t="s">
        <v>269</v>
      </c>
      <c r="D1211" t="s">
        <v>174</v>
      </c>
      <c r="E1211" t="s">
        <v>186</v>
      </c>
      <c r="F1211" t="s">
        <v>206</v>
      </c>
      <c r="G1211" t="s">
        <v>169</v>
      </c>
      <c r="H1211">
        <v>410</v>
      </c>
      <c r="I1211" s="34">
        <f>+POWER_Regional_Daily_20150101_20190305_c11b3312[[#This Row],[Column8]]/100</f>
        <v>4.0999999999999996</v>
      </c>
      <c r="J1211" s="34"/>
    </row>
    <row r="1212" spans="1:10" x14ac:dyDescent="0.25">
      <c r="A1212" s="34" t="s">
        <v>164</v>
      </c>
      <c r="B1212" s="34" t="s">
        <v>165</v>
      </c>
      <c r="C1212" t="s">
        <v>269</v>
      </c>
      <c r="D1212" t="s">
        <v>174</v>
      </c>
      <c r="E1212" t="s">
        <v>188</v>
      </c>
      <c r="F1212" t="s">
        <v>191</v>
      </c>
      <c r="G1212" t="s">
        <v>169</v>
      </c>
      <c r="H1212">
        <v>351</v>
      </c>
      <c r="I1212" s="34">
        <f>+POWER_Regional_Daily_20150101_20190305_c11b3312[[#This Row],[Column8]]/100</f>
        <v>3.51</v>
      </c>
      <c r="J1212" s="34"/>
    </row>
    <row r="1213" spans="1:10" x14ac:dyDescent="0.25">
      <c r="A1213" s="34" t="s">
        <v>164</v>
      </c>
      <c r="B1213" s="34" t="s">
        <v>165</v>
      </c>
      <c r="C1213" t="s">
        <v>269</v>
      </c>
      <c r="D1213" t="s">
        <v>174</v>
      </c>
      <c r="E1213" t="s">
        <v>190</v>
      </c>
      <c r="F1213" t="s">
        <v>211</v>
      </c>
      <c r="G1213" t="s">
        <v>169</v>
      </c>
      <c r="H1213">
        <v>443</v>
      </c>
      <c r="I1213" s="34">
        <f>+POWER_Regional_Daily_20150101_20190305_c11b3312[[#This Row],[Column8]]/100</f>
        <v>4.43</v>
      </c>
      <c r="J1213" s="34"/>
    </row>
    <row r="1214" spans="1:10" x14ac:dyDescent="0.25">
      <c r="A1214" s="34" t="s">
        <v>164</v>
      </c>
      <c r="B1214" s="34" t="s">
        <v>165</v>
      </c>
      <c r="C1214" t="s">
        <v>269</v>
      </c>
      <c r="D1214" t="s">
        <v>174</v>
      </c>
      <c r="E1214" t="s">
        <v>192</v>
      </c>
      <c r="F1214" t="s">
        <v>231</v>
      </c>
      <c r="G1214" t="s">
        <v>169</v>
      </c>
      <c r="H1214">
        <v>499</v>
      </c>
      <c r="I1214" s="34">
        <f>+POWER_Regional_Daily_20150101_20190305_c11b3312[[#This Row],[Column8]]/100</f>
        <v>4.99</v>
      </c>
      <c r="J1214" s="34"/>
    </row>
    <row r="1215" spans="1:10" x14ac:dyDescent="0.25">
      <c r="A1215" s="34" t="s">
        <v>164</v>
      </c>
      <c r="B1215" s="34" t="s">
        <v>165</v>
      </c>
      <c r="C1215" t="s">
        <v>269</v>
      </c>
      <c r="D1215" t="s">
        <v>174</v>
      </c>
      <c r="E1215" t="s">
        <v>194</v>
      </c>
      <c r="F1215" t="s">
        <v>197</v>
      </c>
      <c r="G1215" t="s">
        <v>169</v>
      </c>
      <c r="H1215">
        <v>456</v>
      </c>
      <c r="I1215" s="34">
        <f>+POWER_Regional_Daily_20150101_20190305_c11b3312[[#This Row],[Column8]]/100</f>
        <v>4.5599999999999996</v>
      </c>
      <c r="J1215" s="34"/>
    </row>
    <row r="1216" spans="1:10" x14ac:dyDescent="0.25">
      <c r="A1216" s="34" t="s">
        <v>164</v>
      </c>
      <c r="B1216" s="34" t="s">
        <v>165</v>
      </c>
      <c r="C1216" t="s">
        <v>269</v>
      </c>
      <c r="D1216" t="s">
        <v>174</v>
      </c>
      <c r="E1216" t="s">
        <v>196</v>
      </c>
      <c r="F1216" t="s">
        <v>246</v>
      </c>
      <c r="G1216" t="s">
        <v>169</v>
      </c>
      <c r="H1216">
        <v>400</v>
      </c>
      <c r="I1216" s="34">
        <f>+POWER_Regional_Daily_20150101_20190305_c11b3312[[#This Row],[Column8]]/100</f>
        <v>4</v>
      </c>
      <c r="J1216" s="34"/>
    </row>
    <row r="1217" spans="1:10" x14ac:dyDescent="0.25">
      <c r="A1217" s="34" t="s">
        <v>164</v>
      </c>
      <c r="B1217" s="34" t="s">
        <v>165</v>
      </c>
      <c r="C1217" t="s">
        <v>269</v>
      </c>
      <c r="D1217" t="s">
        <v>174</v>
      </c>
      <c r="E1217" t="s">
        <v>198</v>
      </c>
      <c r="F1217" t="s">
        <v>227</v>
      </c>
      <c r="G1217" t="s">
        <v>169</v>
      </c>
      <c r="H1217">
        <v>342</v>
      </c>
      <c r="I1217" s="34">
        <f>+POWER_Regional_Daily_20150101_20190305_c11b3312[[#This Row],[Column8]]/100</f>
        <v>3.42</v>
      </c>
      <c r="J1217" s="34"/>
    </row>
    <row r="1218" spans="1:10" x14ac:dyDescent="0.25">
      <c r="A1218" s="34" t="s">
        <v>164</v>
      </c>
      <c r="B1218" s="34" t="s">
        <v>165</v>
      </c>
      <c r="C1218" t="s">
        <v>269</v>
      </c>
      <c r="D1218" t="s">
        <v>174</v>
      </c>
      <c r="E1218" t="s">
        <v>199</v>
      </c>
      <c r="F1218" t="s">
        <v>195</v>
      </c>
      <c r="G1218" t="s">
        <v>169</v>
      </c>
      <c r="H1218">
        <v>489</v>
      </c>
      <c r="I1218" s="34">
        <f>+POWER_Regional_Daily_20150101_20190305_c11b3312[[#This Row],[Column8]]/100</f>
        <v>4.8899999999999997</v>
      </c>
      <c r="J1218" s="34"/>
    </row>
    <row r="1219" spans="1:10" x14ac:dyDescent="0.25">
      <c r="A1219" s="34" t="s">
        <v>164</v>
      </c>
      <c r="B1219" s="34" t="s">
        <v>165</v>
      </c>
      <c r="C1219" t="s">
        <v>269</v>
      </c>
      <c r="D1219" t="s">
        <v>174</v>
      </c>
      <c r="E1219" t="s">
        <v>200</v>
      </c>
      <c r="F1219" t="s">
        <v>233</v>
      </c>
      <c r="G1219" t="s">
        <v>169</v>
      </c>
      <c r="H1219">
        <v>477</v>
      </c>
      <c r="I1219" s="34">
        <f>+POWER_Regional_Daily_20150101_20190305_c11b3312[[#This Row],[Column8]]/100</f>
        <v>4.7699999999999996</v>
      </c>
      <c r="J1219" s="34"/>
    </row>
    <row r="1220" spans="1:10" x14ac:dyDescent="0.25">
      <c r="A1220" s="34" t="s">
        <v>164</v>
      </c>
      <c r="B1220" s="34" t="s">
        <v>165</v>
      </c>
      <c r="C1220" t="s">
        <v>269</v>
      </c>
      <c r="D1220" t="s">
        <v>174</v>
      </c>
      <c r="E1220" t="s">
        <v>202</v>
      </c>
      <c r="F1220" t="s">
        <v>226</v>
      </c>
      <c r="G1220" t="s">
        <v>169</v>
      </c>
      <c r="H1220">
        <v>227</v>
      </c>
      <c r="I1220" s="34">
        <f>+POWER_Regional_Daily_20150101_20190305_c11b3312[[#This Row],[Column8]]/100</f>
        <v>2.27</v>
      </c>
      <c r="J1220" s="34"/>
    </row>
    <row r="1221" spans="1:10" x14ac:dyDescent="0.25">
      <c r="A1221" s="34" t="s">
        <v>164</v>
      </c>
      <c r="B1221" s="34" t="s">
        <v>165</v>
      </c>
      <c r="C1221" t="s">
        <v>269</v>
      </c>
      <c r="D1221" t="s">
        <v>174</v>
      </c>
      <c r="E1221" t="s">
        <v>203</v>
      </c>
      <c r="F1221" t="s">
        <v>232</v>
      </c>
      <c r="G1221" t="s">
        <v>169</v>
      </c>
      <c r="H1221">
        <v>622</v>
      </c>
      <c r="I1221" s="34">
        <f>+POWER_Regional_Daily_20150101_20190305_c11b3312[[#This Row],[Column8]]/100</f>
        <v>6.22</v>
      </c>
      <c r="J1221" s="34"/>
    </row>
    <row r="1222" spans="1:10" x14ac:dyDescent="0.25">
      <c r="A1222" s="34" t="s">
        <v>164</v>
      </c>
      <c r="B1222" s="34" t="s">
        <v>165</v>
      </c>
      <c r="C1222" t="s">
        <v>269</v>
      </c>
      <c r="D1222" t="s">
        <v>174</v>
      </c>
      <c r="E1222" t="s">
        <v>205</v>
      </c>
      <c r="F1222" t="s">
        <v>237</v>
      </c>
      <c r="G1222" t="s">
        <v>169</v>
      </c>
      <c r="H1222">
        <v>282</v>
      </c>
      <c r="I1222" s="34">
        <f>+POWER_Regional_Daily_20150101_20190305_c11b3312[[#This Row],[Column8]]/100</f>
        <v>2.82</v>
      </c>
      <c r="J1222" s="34"/>
    </row>
    <row r="1223" spans="1:10" x14ac:dyDescent="0.25">
      <c r="A1223" s="34" t="s">
        <v>164</v>
      </c>
      <c r="B1223" s="34" t="s">
        <v>165</v>
      </c>
      <c r="C1223" t="s">
        <v>269</v>
      </c>
      <c r="D1223" t="s">
        <v>174</v>
      </c>
      <c r="E1223" t="s">
        <v>207</v>
      </c>
      <c r="F1223" t="s">
        <v>218</v>
      </c>
      <c r="G1223" t="s">
        <v>169</v>
      </c>
      <c r="H1223">
        <v>604</v>
      </c>
      <c r="I1223" s="34">
        <f>+POWER_Regional_Daily_20150101_20190305_c11b3312[[#This Row],[Column8]]/100</f>
        <v>6.04</v>
      </c>
      <c r="J1223" s="34"/>
    </row>
    <row r="1224" spans="1:10" x14ac:dyDescent="0.25">
      <c r="A1224" s="34" t="s">
        <v>164</v>
      </c>
      <c r="B1224" s="34" t="s">
        <v>165</v>
      </c>
      <c r="C1224" t="s">
        <v>269</v>
      </c>
      <c r="D1224" t="s">
        <v>174</v>
      </c>
      <c r="E1224" t="s">
        <v>208</v>
      </c>
      <c r="F1224" t="s">
        <v>197</v>
      </c>
      <c r="G1224" t="s">
        <v>169</v>
      </c>
      <c r="H1224">
        <v>458</v>
      </c>
      <c r="I1224" s="34">
        <f>+POWER_Regional_Daily_20150101_20190305_c11b3312[[#This Row],[Column8]]/100</f>
        <v>4.58</v>
      </c>
      <c r="J1224" s="34"/>
    </row>
    <row r="1225" spans="1:10" x14ac:dyDescent="0.25">
      <c r="A1225" s="34" t="s">
        <v>164</v>
      </c>
      <c r="B1225" s="34" t="s">
        <v>165</v>
      </c>
      <c r="C1225" t="s">
        <v>269</v>
      </c>
      <c r="D1225" t="s">
        <v>174</v>
      </c>
      <c r="E1225" t="s">
        <v>210</v>
      </c>
      <c r="F1225" t="s">
        <v>187</v>
      </c>
      <c r="G1225" t="s">
        <v>169</v>
      </c>
      <c r="H1225">
        <v>-999</v>
      </c>
      <c r="I1225" s="34">
        <f>+POWER_Regional_Daily_20150101_20190305_c11b3312[[#This Row],[Column8]]/100</f>
        <v>-9.99</v>
      </c>
      <c r="J1225" s="34"/>
    </row>
    <row r="1226" spans="1:10" x14ac:dyDescent="0.25">
      <c r="A1226" s="34" t="s">
        <v>164</v>
      </c>
      <c r="B1226" s="34" t="s">
        <v>165</v>
      </c>
      <c r="C1226" t="s">
        <v>269</v>
      </c>
      <c r="D1226" t="s">
        <v>174</v>
      </c>
      <c r="E1226" t="s">
        <v>212</v>
      </c>
      <c r="F1226" t="s">
        <v>231</v>
      </c>
      <c r="G1226" t="s">
        <v>169</v>
      </c>
      <c r="H1226">
        <v>492</v>
      </c>
      <c r="I1226" s="34">
        <f>+POWER_Regional_Daily_20150101_20190305_c11b3312[[#This Row],[Column8]]/100</f>
        <v>4.92</v>
      </c>
      <c r="J1226" s="34"/>
    </row>
    <row r="1227" spans="1:10" x14ac:dyDescent="0.25">
      <c r="A1227" s="34" t="s">
        <v>164</v>
      </c>
      <c r="B1227" s="34" t="s">
        <v>165</v>
      </c>
      <c r="C1227" t="s">
        <v>269</v>
      </c>
      <c r="D1227" t="s">
        <v>174</v>
      </c>
      <c r="E1227" t="s">
        <v>214</v>
      </c>
      <c r="F1227" t="s">
        <v>230</v>
      </c>
      <c r="G1227" t="s">
        <v>169</v>
      </c>
      <c r="H1227">
        <v>381</v>
      </c>
      <c r="I1227" s="34">
        <f>+POWER_Regional_Daily_20150101_20190305_c11b3312[[#This Row],[Column8]]/100</f>
        <v>3.81</v>
      </c>
      <c r="J1227" s="34"/>
    </row>
    <row r="1228" spans="1:10" x14ac:dyDescent="0.25">
      <c r="A1228" s="34" t="s">
        <v>164</v>
      </c>
      <c r="B1228" s="34" t="s">
        <v>165</v>
      </c>
      <c r="C1228" t="s">
        <v>269</v>
      </c>
      <c r="D1228" t="s">
        <v>174</v>
      </c>
      <c r="E1228" t="s">
        <v>215</v>
      </c>
      <c r="F1228" t="s">
        <v>195</v>
      </c>
      <c r="G1228" t="s">
        <v>169</v>
      </c>
      <c r="H1228">
        <v>489</v>
      </c>
      <c r="I1228" s="34">
        <f>+POWER_Regional_Daily_20150101_20190305_c11b3312[[#This Row],[Column8]]/100</f>
        <v>4.8899999999999997</v>
      </c>
      <c r="J1228" s="34"/>
    </row>
    <row r="1229" spans="1:10" x14ac:dyDescent="0.25">
      <c r="A1229" s="34" t="s">
        <v>164</v>
      </c>
      <c r="B1229" s="34" t="s">
        <v>165</v>
      </c>
      <c r="C1229" t="s">
        <v>269</v>
      </c>
      <c r="D1229" t="s">
        <v>174</v>
      </c>
      <c r="E1229" t="s">
        <v>217</v>
      </c>
      <c r="F1229" t="s">
        <v>256</v>
      </c>
      <c r="G1229" t="s">
        <v>169</v>
      </c>
      <c r="H1229">
        <v>234</v>
      </c>
      <c r="I1229" s="34">
        <f>+POWER_Regional_Daily_20150101_20190305_c11b3312[[#This Row],[Column8]]/100</f>
        <v>2.34</v>
      </c>
      <c r="J1229" s="34"/>
    </row>
    <row r="1230" spans="1:10" x14ac:dyDescent="0.25">
      <c r="A1230" s="34" t="s">
        <v>164</v>
      </c>
      <c r="B1230" s="34" t="s">
        <v>165</v>
      </c>
      <c r="C1230" t="s">
        <v>269</v>
      </c>
      <c r="D1230" t="s">
        <v>174</v>
      </c>
      <c r="E1230" t="s">
        <v>219</v>
      </c>
      <c r="F1230" t="s">
        <v>183</v>
      </c>
      <c r="G1230" t="s">
        <v>169</v>
      </c>
      <c r="H1230">
        <v>585</v>
      </c>
      <c r="I1230" s="34">
        <f>+POWER_Regional_Daily_20150101_20190305_c11b3312[[#This Row],[Column8]]/100</f>
        <v>5.85</v>
      </c>
      <c r="J1230" s="34"/>
    </row>
    <row r="1231" spans="1:10" x14ac:dyDescent="0.25">
      <c r="A1231" s="34" t="s">
        <v>164</v>
      </c>
      <c r="B1231" s="34" t="s">
        <v>165</v>
      </c>
      <c r="C1231" t="s">
        <v>269</v>
      </c>
      <c r="D1231" t="s">
        <v>175</v>
      </c>
      <c r="E1231" t="s">
        <v>167</v>
      </c>
      <c r="F1231" t="s">
        <v>193</v>
      </c>
      <c r="G1231" t="s">
        <v>169</v>
      </c>
      <c r="H1231">
        <v>413</v>
      </c>
      <c r="I1231" s="34">
        <f>+POWER_Regional_Daily_20150101_20190305_c11b3312[[#This Row],[Column8]]/100</f>
        <v>4.13</v>
      </c>
      <c r="J1231" s="34"/>
    </row>
    <row r="1232" spans="1:10" x14ac:dyDescent="0.25">
      <c r="A1232" s="34" t="s">
        <v>164</v>
      </c>
      <c r="B1232" s="34" t="s">
        <v>165</v>
      </c>
      <c r="C1232" t="s">
        <v>269</v>
      </c>
      <c r="D1232" t="s">
        <v>175</v>
      </c>
      <c r="E1232" t="s">
        <v>170</v>
      </c>
      <c r="F1232" t="s">
        <v>181</v>
      </c>
      <c r="G1232" t="s">
        <v>169</v>
      </c>
      <c r="H1232">
        <v>576</v>
      </c>
      <c r="I1232" s="34">
        <f>+POWER_Regional_Daily_20150101_20190305_c11b3312[[#This Row],[Column8]]/100</f>
        <v>5.76</v>
      </c>
      <c r="J1232" s="34"/>
    </row>
    <row r="1233" spans="1:10" x14ac:dyDescent="0.25">
      <c r="A1233" s="34" t="s">
        <v>164</v>
      </c>
      <c r="B1233" s="34" t="s">
        <v>165</v>
      </c>
      <c r="C1233" t="s">
        <v>269</v>
      </c>
      <c r="D1233" t="s">
        <v>175</v>
      </c>
      <c r="E1233" t="s">
        <v>172</v>
      </c>
      <c r="F1233" t="s">
        <v>193</v>
      </c>
      <c r="G1233" t="s">
        <v>169</v>
      </c>
      <c r="H1233">
        <v>415</v>
      </c>
      <c r="I1233" s="34">
        <f>+POWER_Regional_Daily_20150101_20190305_c11b3312[[#This Row],[Column8]]/100</f>
        <v>4.1500000000000004</v>
      </c>
      <c r="J1233" s="34"/>
    </row>
    <row r="1234" spans="1:10" x14ac:dyDescent="0.25">
      <c r="A1234" s="34" t="s">
        <v>164</v>
      </c>
      <c r="B1234" s="34" t="s">
        <v>165</v>
      </c>
      <c r="C1234" t="s">
        <v>269</v>
      </c>
      <c r="D1234" t="s">
        <v>175</v>
      </c>
      <c r="E1234" t="s">
        <v>174</v>
      </c>
      <c r="F1234" t="s">
        <v>230</v>
      </c>
      <c r="G1234" t="s">
        <v>169</v>
      </c>
      <c r="H1234">
        <v>377</v>
      </c>
      <c r="I1234" s="34">
        <f>+POWER_Regional_Daily_20150101_20190305_c11b3312[[#This Row],[Column8]]/100</f>
        <v>3.77</v>
      </c>
      <c r="J1234" s="34"/>
    </row>
    <row r="1235" spans="1:10" x14ac:dyDescent="0.25">
      <c r="A1235" s="34" t="s">
        <v>164</v>
      </c>
      <c r="B1235" s="34" t="s">
        <v>165</v>
      </c>
      <c r="C1235" t="s">
        <v>269</v>
      </c>
      <c r="D1235" t="s">
        <v>175</v>
      </c>
      <c r="E1235" t="s">
        <v>175</v>
      </c>
      <c r="F1235" t="s">
        <v>242</v>
      </c>
      <c r="G1235" t="s">
        <v>169</v>
      </c>
      <c r="H1235">
        <v>257</v>
      </c>
      <c r="I1235" s="34">
        <f>+POWER_Regional_Daily_20150101_20190305_c11b3312[[#This Row],[Column8]]/100</f>
        <v>2.57</v>
      </c>
      <c r="J1235" s="34"/>
    </row>
    <row r="1236" spans="1:10" x14ac:dyDescent="0.25">
      <c r="A1236" s="34" t="s">
        <v>164</v>
      </c>
      <c r="B1236" s="34" t="s">
        <v>165</v>
      </c>
      <c r="C1236" t="s">
        <v>269</v>
      </c>
      <c r="D1236" t="s">
        <v>175</v>
      </c>
      <c r="E1236" t="s">
        <v>177</v>
      </c>
      <c r="F1236" t="s">
        <v>204</v>
      </c>
      <c r="G1236" t="s">
        <v>169</v>
      </c>
      <c r="H1236">
        <v>442</v>
      </c>
      <c r="I1236" s="34">
        <f>+POWER_Regional_Daily_20150101_20190305_c11b3312[[#This Row],[Column8]]/100</f>
        <v>4.42</v>
      </c>
      <c r="J1236" s="34"/>
    </row>
    <row r="1237" spans="1:10" x14ac:dyDescent="0.25">
      <c r="A1237" s="34" t="s">
        <v>164</v>
      </c>
      <c r="B1237" s="34" t="s">
        <v>165</v>
      </c>
      <c r="C1237" t="s">
        <v>269</v>
      </c>
      <c r="D1237" t="s">
        <v>175</v>
      </c>
      <c r="E1237" t="s">
        <v>178</v>
      </c>
      <c r="F1237" t="s">
        <v>204</v>
      </c>
      <c r="G1237" t="s">
        <v>169</v>
      </c>
      <c r="H1237">
        <v>440</v>
      </c>
      <c r="I1237" s="34">
        <f>+POWER_Regional_Daily_20150101_20190305_c11b3312[[#This Row],[Column8]]/100</f>
        <v>4.4000000000000004</v>
      </c>
      <c r="J1237" s="34"/>
    </row>
    <row r="1238" spans="1:10" x14ac:dyDescent="0.25">
      <c r="A1238" s="34" t="s">
        <v>164</v>
      </c>
      <c r="B1238" s="34" t="s">
        <v>165</v>
      </c>
      <c r="C1238" t="s">
        <v>269</v>
      </c>
      <c r="D1238" t="s">
        <v>175</v>
      </c>
      <c r="E1238" t="s">
        <v>180</v>
      </c>
      <c r="F1238" t="s">
        <v>206</v>
      </c>
      <c r="G1238" t="s">
        <v>169</v>
      </c>
      <c r="H1238">
        <v>397</v>
      </c>
      <c r="I1238" s="34">
        <f>+POWER_Regional_Daily_20150101_20190305_c11b3312[[#This Row],[Column8]]/100</f>
        <v>3.97</v>
      </c>
      <c r="J1238" s="34"/>
    </row>
    <row r="1239" spans="1:10" x14ac:dyDescent="0.25">
      <c r="A1239" s="34" t="s">
        <v>164</v>
      </c>
      <c r="B1239" s="34" t="s">
        <v>165</v>
      </c>
      <c r="C1239" t="s">
        <v>269</v>
      </c>
      <c r="D1239" t="s">
        <v>175</v>
      </c>
      <c r="E1239" t="s">
        <v>182</v>
      </c>
      <c r="F1239" t="s">
        <v>195</v>
      </c>
      <c r="G1239" t="s">
        <v>169</v>
      </c>
      <c r="H1239">
        <v>483</v>
      </c>
      <c r="I1239" s="34">
        <f>+POWER_Regional_Daily_20150101_20190305_c11b3312[[#This Row],[Column8]]/100</f>
        <v>4.83</v>
      </c>
      <c r="J1239" s="34"/>
    </row>
    <row r="1240" spans="1:10" x14ac:dyDescent="0.25">
      <c r="A1240" s="34" t="s">
        <v>164</v>
      </c>
      <c r="B1240" s="34" t="s">
        <v>165</v>
      </c>
      <c r="C1240" t="s">
        <v>269</v>
      </c>
      <c r="D1240" t="s">
        <v>175</v>
      </c>
      <c r="E1240" t="s">
        <v>184</v>
      </c>
      <c r="F1240" t="s">
        <v>236</v>
      </c>
      <c r="G1240" t="s">
        <v>169</v>
      </c>
      <c r="H1240">
        <v>528</v>
      </c>
      <c r="I1240" s="34">
        <f>+POWER_Regional_Daily_20150101_20190305_c11b3312[[#This Row],[Column8]]/100</f>
        <v>5.28</v>
      </c>
      <c r="J1240" s="34"/>
    </row>
    <row r="1241" spans="1:10" x14ac:dyDescent="0.25">
      <c r="A1241" s="34" t="s">
        <v>164</v>
      </c>
      <c r="B1241" s="34" t="s">
        <v>165</v>
      </c>
      <c r="C1241" t="s">
        <v>269</v>
      </c>
      <c r="D1241" t="s">
        <v>175</v>
      </c>
      <c r="E1241" t="s">
        <v>186</v>
      </c>
      <c r="F1241" t="s">
        <v>187</v>
      </c>
      <c r="G1241" t="s">
        <v>169</v>
      </c>
      <c r="H1241">
        <v>-999</v>
      </c>
      <c r="I1241" s="34">
        <f>+POWER_Regional_Daily_20150101_20190305_c11b3312[[#This Row],[Column8]]/100</f>
        <v>-9.99</v>
      </c>
      <c r="J1241" s="34"/>
    </row>
    <row r="1242" spans="1:10" x14ac:dyDescent="0.25">
      <c r="A1242" s="34" t="s">
        <v>164</v>
      </c>
      <c r="B1242" s="34" t="s">
        <v>165</v>
      </c>
      <c r="C1242" t="s">
        <v>269</v>
      </c>
      <c r="D1242" t="s">
        <v>175</v>
      </c>
      <c r="E1242" t="s">
        <v>188</v>
      </c>
      <c r="F1242" t="s">
        <v>195</v>
      </c>
      <c r="G1242" t="s">
        <v>169</v>
      </c>
      <c r="H1242">
        <v>474</v>
      </c>
      <c r="I1242" s="34">
        <f>+POWER_Regional_Daily_20150101_20190305_c11b3312[[#This Row],[Column8]]/100</f>
        <v>4.74</v>
      </c>
      <c r="J1242" s="34"/>
    </row>
    <row r="1243" spans="1:10" x14ac:dyDescent="0.25">
      <c r="A1243" s="34" t="s">
        <v>164</v>
      </c>
      <c r="B1243" s="34" t="s">
        <v>165</v>
      </c>
      <c r="C1243" t="s">
        <v>269</v>
      </c>
      <c r="D1243" t="s">
        <v>175</v>
      </c>
      <c r="E1243" t="s">
        <v>190</v>
      </c>
      <c r="F1243" t="s">
        <v>221</v>
      </c>
      <c r="G1243" t="s">
        <v>169</v>
      </c>
      <c r="H1243">
        <v>415</v>
      </c>
      <c r="I1243" s="34">
        <f>+POWER_Regional_Daily_20150101_20190305_c11b3312[[#This Row],[Column8]]/100</f>
        <v>4.1500000000000004</v>
      </c>
      <c r="J1243" s="34"/>
    </row>
    <row r="1244" spans="1:10" x14ac:dyDescent="0.25">
      <c r="A1244" s="34" t="s">
        <v>164</v>
      </c>
      <c r="B1244" s="34" t="s">
        <v>165</v>
      </c>
      <c r="C1244" t="s">
        <v>269</v>
      </c>
      <c r="D1244" t="s">
        <v>175</v>
      </c>
      <c r="E1244" t="s">
        <v>192</v>
      </c>
      <c r="F1244" t="s">
        <v>224</v>
      </c>
      <c r="G1244" t="s">
        <v>169</v>
      </c>
      <c r="H1244">
        <v>453</v>
      </c>
      <c r="I1244" s="34">
        <f>+POWER_Regional_Daily_20150101_20190305_c11b3312[[#This Row],[Column8]]/100</f>
        <v>4.53</v>
      </c>
      <c r="J1244" s="34"/>
    </row>
    <row r="1245" spans="1:10" x14ac:dyDescent="0.25">
      <c r="A1245" s="34" t="s">
        <v>164</v>
      </c>
      <c r="B1245" s="34" t="s">
        <v>165</v>
      </c>
      <c r="C1245" t="s">
        <v>269</v>
      </c>
      <c r="D1245" t="s">
        <v>175</v>
      </c>
      <c r="E1245" t="s">
        <v>194</v>
      </c>
      <c r="F1245" t="s">
        <v>222</v>
      </c>
      <c r="G1245" t="s">
        <v>169</v>
      </c>
      <c r="H1245">
        <v>541</v>
      </c>
      <c r="I1245" s="34">
        <f>+POWER_Regional_Daily_20150101_20190305_c11b3312[[#This Row],[Column8]]/100</f>
        <v>5.41</v>
      </c>
      <c r="J1245" s="34"/>
    </row>
    <row r="1246" spans="1:10" x14ac:dyDescent="0.25">
      <c r="A1246" s="34" t="s">
        <v>164</v>
      </c>
      <c r="B1246" s="34" t="s">
        <v>165</v>
      </c>
      <c r="C1246" t="s">
        <v>269</v>
      </c>
      <c r="D1246" t="s">
        <v>175</v>
      </c>
      <c r="E1246" t="s">
        <v>196</v>
      </c>
      <c r="F1246" t="s">
        <v>236</v>
      </c>
      <c r="G1246" t="s">
        <v>169</v>
      </c>
      <c r="H1246">
        <v>524</v>
      </c>
      <c r="I1246" s="34">
        <f>+POWER_Regional_Daily_20150101_20190305_c11b3312[[#This Row],[Column8]]/100</f>
        <v>5.24</v>
      </c>
      <c r="J1246" s="34"/>
    </row>
    <row r="1247" spans="1:10" x14ac:dyDescent="0.25">
      <c r="A1247" s="34" t="s">
        <v>164</v>
      </c>
      <c r="B1247" s="34" t="s">
        <v>165</v>
      </c>
      <c r="C1247" t="s">
        <v>269</v>
      </c>
      <c r="D1247" t="s">
        <v>175</v>
      </c>
      <c r="E1247" t="s">
        <v>198</v>
      </c>
      <c r="F1247" t="s">
        <v>195</v>
      </c>
      <c r="G1247" t="s">
        <v>169</v>
      </c>
      <c r="H1247">
        <v>471</v>
      </c>
      <c r="I1247" s="34">
        <f>+POWER_Regional_Daily_20150101_20190305_c11b3312[[#This Row],[Column8]]/100</f>
        <v>4.71</v>
      </c>
      <c r="J1247" s="34"/>
    </row>
    <row r="1248" spans="1:10" x14ac:dyDescent="0.25">
      <c r="A1248" s="34" t="s">
        <v>164</v>
      </c>
      <c r="B1248" s="34" t="s">
        <v>165</v>
      </c>
      <c r="C1248" t="s">
        <v>269</v>
      </c>
      <c r="D1248" t="s">
        <v>175</v>
      </c>
      <c r="E1248" t="s">
        <v>199</v>
      </c>
      <c r="F1248" t="s">
        <v>223</v>
      </c>
      <c r="G1248" t="s">
        <v>169</v>
      </c>
      <c r="H1248">
        <v>496</v>
      </c>
      <c r="I1248" s="34">
        <f>+POWER_Regional_Daily_20150101_20190305_c11b3312[[#This Row],[Column8]]/100</f>
        <v>4.96</v>
      </c>
      <c r="J1248" s="34"/>
    </row>
    <row r="1249" spans="1:10" x14ac:dyDescent="0.25">
      <c r="A1249" s="34" t="s">
        <v>164</v>
      </c>
      <c r="B1249" s="34" t="s">
        <v>165</v>
      </c>
      <c r="C1249" t="s">
        <v>269</v>
      </c>
      <c r="D1249" t="s">
        <v>175</v>
      </c>
      <c r="E1249" t="s">
        <v>200</v>
      </c>
      <c r="F1249" t="s">
        <v>231</v>
      </c>
      <c r="G1249" t="s">
        <v>169</v>
      </c>
      <c r="H1249">
        <v>487</v>
      </c>
      <c r="I1249" s="34">
        <f>+POWER_Regional_Daily_20150101_20190305_c11b3312[[#This Row],[Column8]]/100</f>
        <v>4.87</v>
      </c>
      <c r="J1249" s="34"/>
    </row>
    <row r="1250" spans="1:10" x14ac:dyDescent="0.25">
      <c r="A1250" s="34" t="s">
        <v>164</v>
      </c>
      <c r="B1250" s="34" t="s">
        <v>165</v>
      </c>
      <c r="C1250" t="s">
        <v>269</v>
      </c>
      <c r="D1250" t="s">
        <v>175</v>
      </c>
      <c r="E1250" t="s">
        <v>202</v>
      </c>
      <c r="F1250" t="s">
        <v>237</v>
      </c>
      <c r="G1250" t="s">
        <v>169</v>
      </c>
      <c r="H1250">
        <v>270</v>
      </c>
      <c r="I1250" s="34">
        <f>+POWER_Regional_Daily_20150101_20190305_c11b3312[[#This Row],[Column8]]/100</f>
        <v>2.7</v>
      </c>
      <c r="J1250" s="34"/>
    </row>
    <row r="1251" spans="1:10" x14ac:dyDescent="0.25">
      <c r="A1251" s="34" t="s">
        <v>164</v>
      </c>
      <c r="B1251" s="34" t="s">
        <v>165</v>
      </c>
      <c r="C1251" t="s">
        <v>269</v>
      </c>
      <c r="D1251" t="s">
        <v>175</v>
      </c>
      <c r="E1251" t="s">
        <v>203</v>
      </c>
      <c r="F1251" t="s">
        <v>252</v>
      </c>
      <c r="G1251" t="s">
        <v>169</v>
      </c>
      <c r="H1251">
        <v>241</v>
      </c>
      <c r="I1251" s="34">
        <f>+POWER_Regional_Daily_20150101_20190305_c11b3312[[#This Row],[Column8]]/100</f>
        <v>2.41</v>
      </c>
      <c r="J1251" s="34"/>
    </row>
    <row r="1252" spans="1:10" x14ac:dyDescent="0.25">
      <c r="A1252" s="34" t="s">
        <v>164</v>
      </c>
      <c r="B1252" s="34" t="s">
        <v>165</v>
      </c>
      <c r="C1252" t="s">
        <v>269</v>
      </c>
      <c r="D1252" t="s">
        <v>175</v>
      </c>
      <c r="E1252" t="s">
        <v>205</v>
      </c>
      <c r="F1252" t="s">
        <v>213</v>
      </c>
      <c r="G1252" t="s">
        <v>169</v>
      </c>
      <c r="H1252">
        <v>551</v>
      </c>
      <c r="I1252" s="34">
        <f>+POWER_Regional_Daily_20150101_20190305_c11b3312[[#This Row],[Column8]]/100</f>
        <v>5.51</v>
      </c>
      <c r="J1252" s="34"/>
    </row>
    <row r="1253" spans="1:10" x14ac:dyDescent="0.25">
      <c r="A1253" s="34" t="s">
        <v>164</v>
      </c>
      <c r="B1253" s="34" t="s">
        <v>165</v>
      </c>
      <c r="C1253" t="s">
        <v>269</v>
      </c>
      <c r="D1253" t="s">
        <v>175</v>
      </c>
      <c r="E1253" t="s">
        <v>207</v>
      </c>
      <c r="F1253" t="s">
        <v>221</v>
      </c>
      <c r="G1253" t="s">
        <v>169</v>
      </c>
      <c r="H1253">
        <v>414</v>
      </c>
      <c r="I1253" s="34">
        <f>+POWER_Regional_Daily_20150101_20190305_c11b3312[[#This Row],[Column8]]/100</f>
        <v>4.1399999999999997</v>
      </c>
      <c r="J1253" s="34"/>
    </row>
    <row r="1254" spans="1:10" x14ac:dyDescent="0.25">
      <c r="A1254" s="34" t="s">
        <v>164</v>
      </c>
      <c r="B1254" s="34" t="s">
        <v>165</v>
      </c>
      <c r="C1254" t="s">
        <v>269</v>
      </c>
      <c r="D1254" t="s">
        <v>175</v>
      </c>
      <c r="E1254" t="s">
        <v>208</v>
      </c>
      <c r="F1254" t="s">
        <v>209</v>
      </c>
      <c r="G1254" t="s">
        <v>169</v>
      </c>
      <c r="H1254">
        <v>511</v>
      </c>
      <c r="I1254" s="34">
        <f>+POWER_Regional_Daily_20150101_20190305_c11b3312[[#This Row],[Column8]]/100</f>
        <v>5.1100000000000003</v>
      </c>
      <c r="J1254" s="34"/>
    </row>
    <row r="1255" spans="1:10" x14ac:dyDescent="0.25">
      <c r="A1255" s="34" t="s">
        <v>164</v>
      </c>
      <c r="B1255" s="34" t="s">
        <v>165</v>
      </c>
      <c r="C1255" t="s">
        <v>269</v>
      </c>
      <c r="D1255" t="s">
        <v>175</v>
      </c>
      <c r="E1255" t="s">
        <v>210</v>
      </c>
      <c r="F1255" t="s">
        <v>189</v>
      </c>
      <c r="G1255" t="s">
        <v>169</v>
      </c>
      <c r="H1255">
        <v>586</v>
      </c>
      <c r="I1255" s="34">
        <f>+POWER_Regional_Daily_20150101_20190305_c11b3312[[#This Row],[Column8]]/100</f>
        <v>5.86</v>
      </c>
      <c r="J1255" s="34"/>
    </row>
    <row r="1256" spans="1:10" x14ac:dyDescent="0.25">
      <c r="A1256" s="34" t="s">
        <v>164</v>
      </c>
      <c r="B1256" s="34" t="s">
        <v>165</v>
      </c>
      <c r="C1256" t="s">
        <v>269</v>
      </c>
      <c r="D1256" t="s">
        <v>175</v>
      </c>
      <c r="E1256" t="s">
        <v>212</v>
      </c>
      <c r="F1256" t="s">
        <v>191</v>
      </c>
      <c r="G1256" t="s">
        <v>169</v>
      </c>
      <c r="H1256">
        <v>341</v>
      </c>
      <c r="I1256" s="34">
        <f>+POWER_Regional_Daily_20150101_20190305_c11b3312[[#This Row],[Column8]]/100</f>
        <v>3.41</v>
      </c>
      <c r="J1256" s="34"/>
    </row>
    <row r="1257" spans="1:10" x14ac:dyDescent="0.25">
      <c r="A1257" s="34" t="s">
        <v>164</v>
      </c>
      <c r="B1257" s="34" t="s">
        <v>165</v>
      </c>
      <c r="C1257" t="s">
        <v>269</v>
      </c>
      <c r="D1257" t="s">
        <v>175</v>
      </c>
      <c r="E1257" t="s">
        <v>214</v>
      </c>
      <c r="F1257" t="s">
        <v>187</v>
      </c>
      <c r="G1257" t="s">
        <v>169</v>
      </c>
      <c r="H1257">
        <v>-999</v>
      </c>
      <c r="I1257" s="34">
        <f>+POWER_Regional_Daily_20150101_20190305_c11b3312[[#This Row],[Column8]]/100</f>
        <v>-9.99</v>
      </c>
      <c r="J1257" s="34"/>
    </row>
    <row r="1258" spans="1:10" x14ac:dyDescent="0.25">
      <c r="A1258" s="34" t="s">
        <v>164</v>
      </c>
      <c r="B1258" s="34" t="s">
        <v>165</v>
      </c>
      <c r="C1258" t="s">
        <v>269</v>
      </c>
      <c r="D1258" t="s">
        <v>175</v>
      </c>
      <c r="E1258" t="s">
        <v>215</v>
      </c>
      <c r="F1258" t="s">
        <v>193</v>
      </c>
      <c r="G1258" t="s">
        <v>169</v>
      </c>
      <c r="H1258">
        <v>400</v>
      </c>
      <c r="I1258" s="34">
        <f>+POWER_Regional_Daily_20150101_20190305_c11b3312[[#This Row],[Column8]]/100</f>
        <v>4</v>
      </c>
      <c r="J1258" s="34"/>
    </row>
    <row r="1259" spans="1:10" x14ac:dyDescent="0.25">
      <c r="A1259" s="34" t="s">
        <v>164</v>
      </c>
      <c r="B1259" s="34" t="s">
        <v>165</v>
      </c>
      <c r="C1259" t="s">
        <v>269</v>
      </c>
      <c r="D1259" t="s">
        <v>175</v>
      </c>
      <c r="E1259" t="s">
        <v>217</v>
      </c>
      <c r="F1259" t="s">
        <v>236</v>
      </c>
      <c r="G1259" t="s">
        <v>169</v>
      </c>
      <c r="H1259">
        <v>514</v>
      </c>
      <c r="I1259" s="34">
        <f>+POWER_Regional_Daily_20150101_20190305_c11b3312[[#This Row],[Column8]]/100</f>
        <v>5.14</v>
      </c>
      <c r="J1259" s="34"/>
    </row>
    <row r="1260" spans="1:10" x14ac:dyDescent="0.25">
      <c r="A1260" s="34" t="s">
        <v>164</v>
      </c>
      <c r="B1260" s="34" t="s">
        <v>165</v>
      </c>
      <c r="C1260" t="s">
        <v>269</v>
      </c>
      <c r="D1260" t="s">
        <v>175</v>
      </c>
      <c r="E1260" t="s">
        <v>219</v>
      </c>
      <c r="F1260" t="s">
        <v>221</v>
      </c>
      <c r="G1260" t="s">
        <v>169</v>
      </c>
      <c r="H1260">
        <v>410</v>
      </c>
      <c r="I1260" s="34">
        <f>+POWER_Regional_Daily_20150101_20190305_c11b3312[[#This Row],[Column8]]/100</f>
        <v>4.0999999999999996</v>
      </c>
      <c r="J1260" s="34"/>
    </row>
    <row r="1261" spans="1:10" x14ac:dyDescent="0.25">
      <c r="A1261" s="34" t="s">
        <v>164</v>
      </c>
      <c r="B1261" s="34" t="s">
        <v>165</v>
      </c>
      <c r="C1261" t="s">
        <v>269</v>
      </c>
      <c r="D1261" t="s">
        <v>175</v>
      </c>
      <c r="E1261" t="s">
        <v>220</v>
      </c>
      <c r="F1261" t="s">
        <v>183</v>
      </c>
      <c r="G1261" t="s">
        <v>169</v>
      </c>
      <c r="H1261">
        <v>565</v>
      </c>
      <c r="I1261" s="34">
        <f>+POWER_Regional_Daily_20150101_20190305_c11b3312[[#This Row],[Column8]]/100</f>
        <v>5.65</v>
      </c>
      <c r="J1261" s="34"/>
    </row>
    <row r="1262" spans="1:10" x14ac:dyDescent="0.25">
      <c r="A1262" s="34" t="s">
        <v>164</v>
      </c>
      <c r="B1262" s="34" t="s">
        <v>165</v>
      </c>
      <c r="C1262" t="s">
        <v>269</v>
      </c>
      <c r="D1262" t="s">
        <v>177</v>
      </c>
      <c r="E1262" t="s">
        <v>167</v>
      </c>
      <c r="F1262" t="s">
        <v>227</v>
      </c>
      <c r="G1262" t="s">
        <v>169</v>
      </c>
      <c r="H1262">
        <v>326</v>
      </c>
      <c r="I1262" s="34">
        <f>+POWER_Regional_Daily_20150101_20190305_c11b3312[[#This Row],[Column8]]/100</f>
        <v>3.26</v>
      </c>
      <c r="J1262" s="34"/>
    </row>
    <row r="1263" spans="1:10" x14ac:dyDescent="0.25">
      <c r="A1263" s="34" t="s">
        <v>164</v>
      </c>
      <c r="B1263" s="34" t="s">
        <v>165</v>
      </c>
      <c r="C1263" t="s">
        <v>269</v>
      </c>
      <c r="D1263" t="s">
        <v>177</v>
      </c>
      <c r="E1263" t="s">
        <v>170</v>
      </c>
      <c r="F1263" t="s">
        <v>185</v>
      </c>
      <c r="G1263" t="s">
        <v>319</v>
      </c>
      <c r="H1263">
        <v>602</v>
      </c>
      <c r="I1263" s="34">
        <f>+POWER_Regional_Daily_20150101_20190305_c11b3312[[#This Row],[Column8]]/100</f>
        <v>6.02</v>
      </c>
      <c r="J1263" s="34"/>
    </row>
    <row r="1264" spans="1:10" x14ac:dyDescent="0.25">
      <c r="A1264" s="34" t="s">
        <v>164</v>
      </c>
      <c r="B1264" s="34" t="s">
        <v>165</v>
      </c>
      <c r="C1264" t="s">
        <v>269</v>
      </c>
      <c r="D1264" t="s">
        <v>177</v>
      </c>
      <c r="E1264" t="s">
        <v>172</v>
      </c>
      <c r="F1264" t="s">
        <v>222</v>
      </c>
      <c r="G1264" t="s">
        <v>169</v>
      </c>
      <c r="H1264">
        <v>533</v>
      </c>
      <c r="I1264" s="34">
        <f>+POWER_Regional_Daily_20150101_20190305_c11b3312[[#This Row],[Column8]]/100</f>
        <v>5.33</v>
      </c>
      <c r="J1264" s="34"/>
    </row>
    <row r="1265" spans="1:10" x14ac:dyDescent="0.25">
      <c r="A1265" s="34" t="s">
        <v>164</v>
      </c>
      <c r="B1265" s="34" t="s">
        <v>165</v>
      </c>
      <c r="C1265" t="s">
        <v>269</v>
      </c>
      <c r="D1265" t="s">
        <v>177</v>
      </c>
      <c r="E1265" t="s">
        <v>174</v>
      </c>
      <c r="F1265" t="s">
        <v>231</v>
      </c>
      <c r="G1265" t="s">
        <v>169</v>
      </c>
      <c r="H1265">
        <v>474</v>
      </c>
      <c r="I1265" s="34">
        <f>+POWER_Regional_Daily_20150101_20190305_c11b3312[[#This Row],[Column8]]/100</f>
        <v>4.74</v>
      </c>
      <c r="J1265" s="34"/>
    </row>
    <row r="1266" spans="1:10" x14ac:dyDescent="0.25">
      <c r="A1266" s="34" t="s">
        <v>164</v>
      </c>
      <c r="B1266" s="34" t="s">
        <v>165</v>
      </c>
      <c r="C1266" t="s">
        <v>269</v>
      </c>
      <c r="D1266" t="s">
        <v>177</v>
      </c>
      <c r="E1266" t="s">
        <v>175</v>
      </c>
      <c r="F1266" t="s">
        <v>224</v>
      </c>
      <c r="G1266" t="s">
        <v>169</v>
      </c>
      <c r="H1266">
        <v>448</v>
      </c>
      <c r="I1266" s="34">
        <f>+POWER_Regional_Daily_20150101_20190305_c11b3312[[#This Row],[Column8]]/100</f>
        <v>4.4800000000000004</v>
      </c>
      <c r="J1266" s="34"/>
    </row>
    <row r="1267" spans="1:10" x14ac:dyDescent="0.25">
      <c r="A1267" s="34" t="s">
        <v>164</v>
      </c>
      <c r="B1267" s="34" t="s">
        <v>165</v>
      </c>
      <c r="C1267" t="s">
        <v>269</v>
      </c>
      <c r="D1267" t="s">
        <v>177</v>
      </c>
      <c r="E1267" t="s">
        <v>177</v>
      </c>
      <c r="F1267" t="s">
        <v>221</v>
      </c>
      <c r="G1267" t="s">
        <v>169</v>
      </c>
      <c r="H1267">
        <v>408</v>
      </c>
      <c r="I1267" s="34">
        <f>+POWER_Regional_Daily_20150101_20190305_c11b3312[[#This Row],[Column8]]/100</f>
        <v>4.08</v>
      </c>
      <c r="J1267" s="34"/>
    </row>
    <row r="1268" spans="1:10" x14ac:dyDescent="0.25">
      <c r="A1268" s="34" t="s">
        <v>164</v>
      </c>
      <c r="B1268" s="34" t="s">
        <v>165</v>
      </c>
      <c r="C1268" t="s">
        <v>269</v>
      </c>
      <c r="D1268" t="s">
        <v>177</v>
      </c>
      <c r="E1268" t="s">
        <v>178</v>
      </c>
      <c r="F1268" t="s">
        <v>181</v>
      </c>
      <c r="G1268" t="s">
        <v>169</v>
      </c>
      <c r="H1268">
        <v>551</v>
      </c>
      <c r="I1268" s="34">
        <f>+POWER_Regional_Daily_20150101_20190305_c11b3312[[#This Row],[Column8]]/100</f>
        <v>5.51</v>
      </c>
      <c r="J1268" s="34"/>
    </row>
    <row r="1269" spans="1:10" x14ac:dyDescent="0.25">
      <c r="A1269" s="34" t="s">
        <v>164</v>
      </c>
      <c r="B1269" s="34" t="s">
        <v>165</v>
      </c>
      <c r="C1269" t="s">
        <v>269</v>
      </c>
      <c r="D1269" t="s">
        <v>177</v>
      </c>
      <c r="E1269" t="s">
        <v>180</v>
      </c>
      <c r="F1269" t="s">
        <v>222</v>
      </c>
      <c r="G1269" t="s">
        <v>169</v>
      </c>
      <c r="H1269">
        <v>534</v>
      </c>
      <c r="I1269" s="34">
        <f>+POWER_Regional_Daily_20150101_20190305_c11b3312[[#This Row],[Column8]]/100</f>
        <v>5.34</v>
      </c>
      <c r="J1269" s="34"/>
    </row>
    <row r="1270" spans="1:10" x14ac:dyDescent="0.25">
      <c r="A1270" s="34" t="s">
        <v>164</v>
      </c>
      <c r="B1270" s="34" t="s">
        <v>165</v>
      </c>
      <c r="C1270" t="s">
        <v>269</v>
      </c>
      <c r="D1270" t="s">
        <v>177</v>
      </c>
      <c r="E1270" t="s">
        <v>182</v>
      </c>
      <c r="F1270" t="s">
        <v>193</v>
      </c>
      <c r="G1270" t="s">
        <v>169</v>
      </c>
      <c r="H1270">
        <v>398</v>
      </c>
      <c r="I1270" s="34">
        <f>+POWER_Regional_Daily_20150101_20190305_c11b3312[[#This Row],[Column8]]/100</f>
        <v>3.98</v>
      </c>
      <c r="J1270" s="34"/>
    </row>
    <row r="1271" spans="1:10" x14ac:dyDescent="0.25">
      <c r="A1271" s="34" t="s">
        <v>164</v>
      </c>
      <c r="B1271" s="34" t="s">
        <v>165</v>
      </c>
      <c r="C1271" t="s">
        <v>269</v>
      </c>
      <c r="D1271" t="s">
        <v>177</v>
      </c>
      <c r="E1271" t="s">
        <v>184</v>
      </c>
      <c r="F1271" t="s">
        <v>230</v>
      </c>
      <c r="G1271" t="s">
        <v>169</v>
      </c>
      <c r="H1271">
        <v>366</v>
      </c>
      <c r="I1271" s="34">
        <f>+POWER_Regional_Daily_20150101_20190305_c11b3312[[#This Row],[Column8]]/100</f>
        <v>3.66</v>
      </c>
      <c r="J1271" s="34"/>
    </row>
    <row r="1272" spans="1:10" x14ac:dyDescent="0.25">
      <c r="A1272" s="34" t="s">
        <v>164</v>
      </c>
      <c r="B1272" s="34" t="s">
        <v>165</v>
      </c>
      <c r="C1272" t="s">
        <v>269</v>
      </c>
      <c r="D1272" t="s">
        <v>177</v>
      </c>
      <c r="E1272" t="s">
        <v>186</v>
      </c>
      <c r="F1272" t="s">
        <v>231</v>
      </c>
      <c r="G1272" t="s">
        <v>169</v>
      </c>
      <c r="H1272">
        <v>478</v>
      </c>
      <c r="I1272" s="34">
        <f>+POWER_Regional_Daily_20150101_20190305_c11b3312[[#This Row],[Column8]]/100</f>
        <v>4.78</v>
      </c>
      <c r="J1272" s="34"/>
    </row>
    <row r="1273" spans="1:10" x14ac:dyDescent="0.25">
      <c r="A1273" s="34" t="s">
        <v>164</v>
      </c>
      <c r="B1273" s="34" t="s">
        <v>165</v>
      </c>
      <c r="C1273" t="s">
        <v>269</v>
      </c>
      <c r="D1273" t="s">
        <v>177</v>
      </c>
      <c r="E1273" t="s">
        <v>188</v>
      </c>
      <c r="F1273" t="s">
        <v>187</v>
      </c>
      <c r="G1273" t="s">
        <v>169</v>
      </c>
      <c r="H1273">
        <v>-999</v>
      </c>
      <c r="I1273" s="34">
        <f>+POWER_Regional_Daily_20150101_20190305_c11b3312[[#This Row],[Column8]]/100</f>
        <v>-9.99</v>
      </c>
      <c r="J1273" s="34"/>
    </row>
    <row r="1274" spans="1:10" x14ac:dyDescent="0.25">
      <c r="A1274" s="34" t="s">
        <v>164</v>
      </c>
      <c r="B1274" s="34" t="s">
        <v>165</v>
      </c>
      <c r="C1274" t="s">
        <v>269</v>
      </c>
      <c r="D1274" t="s">
        <v>177</v>
      </c>
      <c r="E1274" t="s">
        <v>190</v>
      </c>
      <c r="F1274" t="s">
        <v>222</v>
      </c>
      <c r="G1274" t="s">
        <v>169</v>
      </c>
      <c r="H1274">
        <v>529</v>
      </c>
      <c r="I1274" s="34">
        <f>+POWER_Regional_Daily_20150101_20190305_c11b3312[[#This Row],[Column8]]/100</f>
        <v>5.29</v>
      </c>
      <c r="J1274" s="34"/>
    </row>
    <row r="1275" spans="1:10" x14ac:dyDescent="0.25">
      <c r="A1275" s="34" t="s">
        <v>164</v>
      </c>
      <c r="B1275" s="34" t="s">
        <v>165</v>
      </c>
      <c r="C1275" t="s">
        <v>269</v>
      </c>
      <c r="D1275" t="s">
        <v>177</v>
      </c>
      <c r="E1275" t="s">
        <v>192</v>
      </c>
      <c r="F1275" t="s">
        <v>224</v>
      </c>
      <c r="G1275" t="s">
        <v>169</v>
      </c>
      <c r="H1275">
        <v>443</v>
      </c>
      <c r="I1275" s="34">
        <f>+POWER_Regional_Daily_20150101_20190305_c11b3312[[#This Row],[Column8]]/100</f>
        <v>4.43</v>
      </c>
      <c r="J1275" s="34"/>
    </row>
    <row r="1276" spans="1:10" x14ac:dyDescent="0.25">
      <c r="A1276" s="34" t="s">
        <v>164</v>
      </c>
      <c r="B1276" s="34" t="s">
        <v>165</v>
      </c>
      <c r="C1276" t="s">
        <v>269</v>
      </c>
      <c r="D1276" t="s">
        <v>177</v>
      </c>
      <c r="E1276" t="s">
        <v>194</v>
      </c>
      <c r="F1276" t="s">
        <v>211</v>
      </c>
      <c r="G1276" t="s">
        <v>169</v>
      </c>
      <c r="H1276">
        <v>409</v>
      </c>
      <c r="I1276" s="34">
        <f>+POWER_Regional_Daily_20150101_20190305_c11b3312[[#This Row],[Column8]]/100</f>
        <v>4.09</v>
      </c>
      <c r="J1276" s="34"/>
    </row>
    <row r="1277" spans="1:10" x14ac:dyDescent="0.25">
      <c r="A1277" s="34" t="s">
        <v>164</v>
      </c>
      <c r="B1277" s="34" t="s">
        <v>165</v>
      </c>
      <c r="C1277" t="s">
        <v>269</v>
      </c>
      <c r="D1277" t="s">
        <v>177</v>
      </c>
      <c r="E1277" t="s">
        <v>196</v>
      </c>
      <c r="F1277" t="s">
        <v>218</v>
      </c>
      <c r="G1277" t="s">
        <v>169</v>
      </c>
      <c r="H1277">
        <v>570</v>
      </c>
      <c r="I1277" s="34">
        <f>+POWER_Regional_Daily_20150101_20190305_c11b3312[[#This Row],[Column8]]/100</f>
        <v>5.7</v>
      </c>
      <c r="J1277" s="34"/>
    </row>
    <row r="1278" spans="1:10" x14ac:dyDescent="0.25">
      <c r="A1278" s="34" t="s">
        <v>164</v>
      </c>
      <c r="B1278" s="34" t="s">
        <v>165</v>
      </c>
      <c r="C1278" t="s">
        <v>269</v>
      </c>
      <c r="D1278" t="s">
        <v>177</v>
      </c>
      <c r="E1278" t="s">
        <v>198</v>
      </c>
      <c r="F1278" t="s">
        <v>236</v>
      </c>
      <c r="G1278" t="s">
        <v>169</v>
      </c>
      <c r="H1278">
        <v>513</v>
      </c>
      <c r="I1278" s="34">
        <f>+POWER_Regional_Daily_20150101_20190305_c11b3312[[#This Row],[Column8]]/100</f>
        <v>5.13</v>
      </c>
      <c r="J1278" s="34"/>
    </row>
    <row r="1279" spans="1:10" x14ac:dyDescent="0.25">
      <c r="A1279" s="34" t="s">
        <v>164</v>
      </c>
      <c r="B1279" s="34" t="s">
        <v>165</v>
      </c>
      <c r="C1279" t="s">
        <v>269</v>
      </c>
      <c r="D1279" t="s">
        <v>177</v>
      </c>
      <c r="E1279" t="s">
        <v>199</v>
      </c>
      <c r="F1279" t="s">
        <v>235</v>
      </c>
      <c r="G1279" t="s">
        <v>169</v>
      </c>
      <c r="H1279">
        <v>491</v>
      </c>
      <c r="I1279" s="34">
        <f>+POWER_Regional_Daily_20150101_20190305_c11b3312[[#This Row],[Column8]]/100</f>
        <v>4.91</v>
      </c>
      <c r="J1279" s="34"/>
    </row>
    <row r="1280" spans="1:10" x14ac:dyDescent="0.25">
      <c r="A1280" s="34" t="s">
        <v>164</v>
      </c>
      <c r="B1280" s="34" t="s">
        <v>165</v>
      </c>
      <c r="C1280" t="s">
        <v>269</v>
      </c>
      <c r="D1280" t="s">
        <v>177</v>
      </c>
      <c r="E1280" t="s">
        <v>200</v>
      </c>
      <c r="F1280" t="s">
        <v>201</v>
      </c>
      <c r="G1280" t="s">
        <v>169</v>
      </c>
      <c r="H1280">
        <v>525</v>
      </c>
      <c r="I1280" s="34">
        <f>+POWER_Regional_Daily_20150101_20190305_c11b3312[[#This Row],[Column8]]/100</f>
        <v>5.25</v>
      </c>
      <c r="J1280" s="34"/>
    </row>
    <row r="1281" spans="1:10" x14ac:dyDescent="0.25">
      <c r="A1281" s="34" t="s">
        <v>164</v>
      </c>
      <c r="B1281" s="34" t="s">
        <v>165</v>
      </c>
      <c r="C1281" t="s">
        <v>269</v>
      </c>
      <c r="D1281" t="s">
        <v>177</v>
      </c>
      <c r="E1281" t="s">
        <v>202</v>
      </c>
      <c r="F1281" t="s">
        <v>201</v>
      </c>
      <c r="G1281" t="s">
        <v>169</v>
      </c>
      <c r="H1281">
        <v>516</v>
      </c>
      <c r="I1281" s="34">
        <f>+POWER_Regional_Daily_20150101_20190305_c11b3312[[#This Row],[Column8]]/100</f>
        <v>5.16</v>
      </c>
      <c r="J1281" s="34"/>
    </row>
    <row r="1282" spans="1:10" x14ac:dyDescent="0.25">
      <c r="A1282" s="34" t="s">
        <v>164</v>
      </c>
      <c r="B1282" s="34" t="s">
        <v>165</v>
      </c>
      <c r="C1282" t="s">
        <v>269</v>
      </c>
      <c r="D1282" t="s">
        <v>177</v>
      </c>
      <c r="E1282" t="s">
        <v>203</v>
      </c>
      <c r="F1282" t="s">
        <v>231</v>
      </c>
      <c r="G1282" t="s">
        <v>169</v>
      </c>
      <c r="H1282">
        <v>469</v>
      </c>
      <c r="I1282" s="34">
        <f>+POWER_Regional_Daily_20150101_20190305_c11b3312[[#This Row],[Column8]]/100</f>
        <v>4.6900000000000004</v>
      </c>
      <c r="J1282" s="34"/>
    </row>
    <row r="1283" spans="1:10" x14ac:dyDescent="0.25">
      <c r="A1283" s="34" t="s">
        <v>164</v>
      </c>
      <c r="B1283" s="34" t="s">
        <v>165</v>
      </c>
      <c r="C1283" t="s">
        <v>269</v>
      </c>
      <c r="D1283" t="s">
        <v>177</v>
      </c>
      <c r="E1283" t="s">
        <v>205</v>
      </c>
      <c r="F1283" t="s">
        <v>183</v>
      </c>
      <c r="G1283" t="s">
        <v>169</v>
      </c>
      <c r="H1283">
        <v>555</v>
      </c>
      <c r="I1283" s="34">
        <f>+POWER_Regional_Daily_20150101_20190305_c11b3312[[#This Row],[Column8]]/100</f>
        <v>5.55</v>
      </c>
      <c r="J1283" s="34"/>
    </row>
    <row r="1284" spans="1:10" x14ac:dyDescent="0.25">
      <c r="A1284" s="34" t="s">
        <v>164</v>
      </c>
      <c r="B1284" s="34" t="s">
        <v>165</v>
      </c>
      <c r="C1284" t="s">
        <v>269</v>
      </c>
      <c r="D1284" t="s">
        <v>177</v>
      </c>
      <c r="E1284" t="s">
        <v>207</v>
      </c>
      <c r="F1284" t="s">
        <v>197</v>
      </c>
      <c r="G1284" t="s">
        <v>169</v>
      </c>
      <c r="H1284">
        <v>432</v>
      </c>
      <c r="I1284" s="34">
        <f>+POWER_Regional_Daily_20150101_20190305_c11b3312[[#This Row],[Column8]]/100</f>
        <v>4.32</v>
      </c>
      <c r="J1284" s="34"/>
    </row>
    <row r="1285" spans="1:10" x14ac:dyDescent="0.25">
      <c r="A1285" s="34" t="s">
        <v>164</v>
      </c>
      <c r="B1285" s="34" t="s">
        <v>165</v>
      </c>
      <c r="C1285" t="s">
        <v>269</v>
      </c>
      <c r="D1285" t="s">
        <v>177</v>
      </c>
      <c r="E1285" t="s">
        <v>208</v>
      </c>
      <c r="F1285" t="s">
        <v>183</v>
      </c>
      <c r="G1285" t="s">
        <v>169</v>
      </c>
      <c r="H1285">
        <v>562</v>
      </c>
      <c r="I1285" s="34">
        <f>+POWER_Regional_Daily_20150101_20190305_c11b3312[[#This Row],[Column8]]/100</f>
        <v>5.62</v>
      </c>
      <c r="J1285" s="34"/>
    </row>
    <row r="1286" spans="1:10" x14ac:dyDescent="0.25">
      <c r="A1286" s="34" t="s">
        <v>164</v>
      </c>
      <c r="B1286" s="34" t="s">
        <v>165</v>
      </c>
      <c r="C1286" t="s">
        <v>269</v>
      </c>
      <c r="D1286" t="s">
        <v>177</v>
      </c>
      <c r="E1286" t="s">
        <v>210</v>
      </c>
      <c r="F1286" t="s">
        <v>235</v>
      </c>
      <c r="G1286" t="s">
        <v>169</v>
      </c>
      <c r="H1286">
        <v>494</v>
      </c>
      <c r="I1286" s="34">
        <f>+POWER_Regional_Daily_20150101_20190305_c11b3312[[#This Row],[Column8]]/100</f>
        <v>4.9400000000000004</v>
      </c>
      <c r="J1286" s="34"/>
    </row>
    <row r="1287" spans="1:10" x14ac:dyDescent="0.25">
      <c r="A1287" s="34" t="s">
        <v>164</v>
      </c>
      <c r="B1287" s="34" t="s">
        <v>165</v>
      </c>
      <c r="C1287" t="s">
        <v>269</v>
      </c>
      <c r="D1287" t="s">
        <v>177</v>
      </c>
      <c r="E1287" t="s">
        <v>212</v>
      </c>
      <c r="F1287" t="s">
        <v>235</v>
      </c>
      <c r="G1287" t="s">
        <v>169</v>
      </c>
      <c r="H1287">
        <v>492</v>
      </c>
      <c r="I1287" s="34">
        <f>+POWER_Regional_Daily_20150101_20190305_c11b3312[[#This Row],[Column8]]/100</f>
        <v>4.92</v>
      </c>
      <c r="J1287" s="34"/>
    </row>
    <row r="1288" spans="1:10" x14ac:dyDescent="0.25">
      <c r="A1288" s="34" t="s">
        <v>164</v>
      </c>
      <c r="B1288" s="34" t="s">
        <v>165</v>
      </c>
      <c r="C1288" t="s">
        <v>269</v>
      </c>
      <c r="D1288" t="s">
        <v>177</v>
      </c>
      <c r="E1288" t="s">
        <v>214</v>
      </c>
      <c r="F1288" t="s">
        <v>224</v>
      </c>
      <c r="G1288" t="s">
        <v>169</v>
      </c>
      <c r="H1288">
        <v>443</v>
      </c>
      <c r="I1288" s="34">
        <f>+POWER_Regional_Daily_20150101_20190305_c11b3312[[#This Row],[Column8]]/100</f>
        <v>4.43</v>
      </c>
      <c r="J1288" s="34"/>
    </row>
    <row r="1289" spans="1:10" x14ac:dyDescent="0.25">
      <c r="A1289" s="34" t="s">
        <v>164</v>
      </c>
      <c r="B1289" s="34" t="s">
        <v>165</v>
      </c>
      <c r="C1289" t="s">
        <v>269</v>
      </c>
      <c r="D1289" t="s">
        <v>177</v>
      </c>
      <c r="E1289" t="s">
        <v>215</v>
      </c>
      <c r="F1289" t="s">
        <v>187</v>
      </c>
      <c r="G1289" t="s">
        <v>169</v>
      </c>
      <c r="H1289">
        <v>-999</v>
      </c>
      <c r="I1289" s="34">
        <f>+POWER_Regional_Daily_20150101_20190305_c11b3312[[#This Row],[Column8]]/100</f>
        <v>-9.99</v>
      </c>
      <c r="J1289" s="34"/>
    </row>
    <row r="1290" spans="1:10" x14ac:dyDescent="0.25">
      <c r="A1290" s="34" t="s">
        <v>164</v>
      </c>
      <c r="B1290" s="34" t="s">
        <v>165</v>
      </c>
      <c r="C1290" t="s">
        <v>269</v>
      </c>
      <c r="D1290" t="s">
        <v>177</v>
      </c>
      <c r="E1290" t="s">
        <v>217</v>
      </c>
      <c r="F1290" t="s">
        <v>223</v>
      </c>
      <c r="G1290" t="s">
        <v>169</v>
      </c>
      <c r="H1290">
        <v>479</v>
      </c>
      <c r="I1290" s="34">
        <f>+POWER_Regional_Daily_20150101_20190305_c11b3312[[#This Row],[Column8]]/100</f>
        <v>4.79</v>
      </c>
      <c r="J1290" s="34"/>
    </row>
    <row r="1291" spans="1:10" x14ac:dyDescent="0.25">
      <c r="A1291" s="34" t="s">
        <v>164</v>
      </c>
      <c r="B1291" s="34" t="s">
        <v>165</v>
      </c>
      <c r="C1291" t="s">
        <v>269</v>
      </c>
      <c r="D1291" t="s">
        <v>177</v>
      </c>
      <c r="E1291" t="s">
        <v>219</v>
      </c>
      <c r="F1291" t="s">
        <v>233</v>
      </c>
      <c r="G1291" t="s">
        <v>169</v>
      </c>
      <c r="H1291">
        <v>452</v>
      </c>
      <c r="I1291" s="34">
        <f>+POWER_Regional_Daily_20150101_20190305_c11b3312[[#This Row],[Column8]]/100</f>
        <v>4.5199999999999996</v>
      </c>
      <c r="J1291" s="34"/>
    </row>
    <row r="1292" spans="1:10" x14ac:dyDescent="0.25">
      <c r="A1292" s="34" t="s">
        <v>164</v>
      </c>
      <c r="B1292" s="34" t="s">
        <v>165</v>
      </c>
      <c r="C1292" t="s">
        <v>269</v>
      </c>
      <c r="D1292" t="s">
        <v>178</v>
      </c>
      <c r="E1292" t="s">
        <v>167</v>
      </c>
      <c r="F1292" t="s">
        <v>183</v>
      </c>
      <c r="G1292" t="s">
        <v>169</v>
      </c>
      <c r="H1292">
        <v>562</v>
      </c>
      <c r="I1292" s="34">
        <f>+POWER_Regional_Daily_20150101_20190305_c11b3312[[#This Row],[Column8]]/100</f>
        <v>5.62</v>
      </c>
      <c r="J1292" s="34"/>
    </row>
    <row r="1293" spans="1:10" x14ac:dyDescent="0.25">
      <c r="A1293" s="34" t="s">
        <v>164</v>
      </c>
      <c r="B1293" s="34" t="s">
        <v>165</v>
      </c>
      <c r="C1293" t="s">
        <v>269</v>
      </c>
      <c r="D1293" t="s">
        <v>178</v>
      </c>
      <c r="E1293" t="s">
        <v>170</v>
      </c>
      <c r="F1293" t="s">
        <v>231</v>
      </c>
      <c r="G1293" t="s">
        <v>169</v>
      </c>
      <c r="H1293">
        <v>471</v>
      </c>
      <c r="I1293" s="34">
        <f>+POWER_Regional_Daily_20150101_20190305_c11b3312[[#This Row],[Column8]]/100</f>
        <v>4.71</v>
      </c>
      <c r="J1293" s="34"/>
    </row>
    <row r="1294" spans="1:10" x14ac:dyDescent="0.25">
      <c r="A1294" s="34" t="s">
        <v>164</v>
      </c>
      <c r="B1294" s="34" t="s">
        <v>165</v>
      </c>
      <c r="C1294" t="s">
        <v>269</v>
      </c>
      <c r="D1294" t="s">
        <v>178</v>
      </c>
      <c r="E1294" t="s">
        <v>172</v>
      </c>
      <c r="F1294" t="s">
        <v>201</v>
      </c>
      <c r="G1294" t="s">
        <v>169</v>
      </c>
      <c r="H1294">
        <v>525</v>
      </c>
      <c r="I1294" s="34">
        <f>+POWER_Regional_Daily_20150101_20190305_c11b3312[[#This Row],[Column8]]/100</f>
        <v>5.25</v>
      </c>
      <c r="J1294" s="34"/>
    </row>
    <row r="1295" spans="1:10" x14ac:dyDescent="0.25">
      <c r="A1295" s="34" t="s">
        <v>164</v>
      </c>
      <c r="B1295" s="34" t="s">
        <v>165</v>
      </c>
      <c r="C1295" t="s">
        <v>269</v>
      </c>
      <c r="D1295" t="s">
        <v>178</v>
      </c>
      <c r="E1295" t="s">
        <v>174</v>
      </c>
      <c r="F1295" t="s">
        <v>232</v>
      </c>
      <c r="G1295" t="s">
        <v>169</v>
      </c>
      <c r="H1295">
        <v>592</v>
      </c>
      <c r="I1295" s="34">
        <f>+POWER_Regional_Daily_20150101_20190305_c11b3312[[#This Row],[Column8]]/100</f>
        <v>5.92</v>
      </c>
      <c r="J1295" s="34"/>
    </row>
    <row r="1296" spans="1:10" x14ac:dyDescent="0.25">
      <c r="A1296" s="34" t="s">
        <v>164</v>
      </c>
      <c r="B1296" s="34" t="s">
        <v>165</v>
      </c>
      <c r="C1296" t="s">
        <v>269</v>
      </c>
      <c r="D1296" t="s">
        <v>178</v>
      </c>
      <c r="E1296" t="s">
        <v>175</v>
      </c>
      <c r="F1296" t="s">
        <v>236</v>
      </c>
      <c r="G1296" t="s">
        <v>169</v>
      </c>
      <c r="H1296">
        <v>513</v>
      </c>
      <c r="I1296" s="34">
        <f>+POWER_Regional_Daily_20150101_20190305_c11b3312[[#This Row],[Column8]]/100</f>
        <v>5.13</v>
      </c>
      <c r="J1296" s="34"/>
    </row>
    <row r="1297" spans="1:10" x14ac:dyDescent="0.25">
      <c r="A1297" s="34" t="s">
        <v>164</v>
      </c>
      <c r="B1297" s="34" t="s">
        <v>165</v>
      </c>
      <c r="C1297" t="s">
        <v>269</v>
      </c>
      <c r="D1297" t="s">
        <v>178</v>
      </c>
      <c r="E1297" t="s">
        <v>177</v>
      </c>
      <c r="F1297" t="s">
        <v>231</v>
      </c>
      <c r="G1297" t="s">
        <v>169</v>
      </c>
      <c r="H1297">
        <v>468</v>
      </c>
      <c r="I1297" s="34">
        <f>+POWER_Regional_Daily_20150101_20190305_c11b3312[[#This Row],[Column8]]/100</f>
        <v>4.68</v>
      </c>
      <c r="J1297" s="34"/>
    </row>
    <row r="1298" spans="1:10" x14ac:dyDescent="0.25">
      <c r="A1298" s="34" t="s">
        <v>164</v>
      </c>
      <c r="B1298" s="34" t="s">
        <v>165</v>
      </c>
      <c r="C1298" t="s">
        <v>269</v>
      </c>
      <c r="D1298" t="s">
        <v>178</v>
      </c>
      <c r="E1298" t="s">
        <v>178</v>
      </c>
      <c r="F1298" t="s">
        <v>239</v>
      </c>
      <c r="G1298" t="s">
        <v>169</v>
      </c>
      <c r="H1298">
        <v>356</v>
      </c>
      <c r="I1298" s="34">
        <f>+POWER_Regional_Daily_20150101_20190305_c11b3312[[#This Row],[Column8]]/100</f>
        <v>3.56</v>
      </c>
      <c r="J1298" s="34"/>
    </row>
    <row r="1299" spans="1:10" x14ac:dyDescent="0.25">
      <c r="A1299" s="34" t="s">
        <v>164</v>
      </c>
      <c r="B1299" s="34" t="s">
        <v>165</v>
      </c>
      <c r="C1299" t="s">
        <v>269</v>
      </c>
      <c r="D1299" t="s">
        <v>178</v>
      </c>
      <c r="E1299" t="s">
        <v>180</v>
      </c>
      <c r="F1299" t="s">
        <v>238</v>
      </c>
      <c r="G1299" t="s">
        <v>169</v>
      </c>
      <c r="H1299">
        <v>618</v>
      </c>
      <c r="I1299" s="34">
        <f>+POWER_Regional_Daily_20150101_20190305_c11b3312[[#This Row],[Column8]]/100</f>
        <v>6.18</v>
      </c>
      <c r="J1299" s="34"/>
    </row>
    <row r="1300" spans="1:10" x14ac:dyDescent="0.25">
      <c r="A1300" s="34" t="s">
        <v>164</v>
      </c>
      <c r="B1300" s="34" t="s">
        <v>165</v>
      </c>
      <c r="C1300" t="s">
        <v>269</v>
      </c>
      <c r="D1300" t="s">
        <v>178</v>
      </c>
      <c r="E1300" t="s">
        <v>182</v>
      </c>
      <c r="F1300" t="s">
        <v>211</v>
      </c>
      <c r="G1300" t="s">
        <v>169</v>
      </c>
      <c r="H1300">
        <v>416</v>
      </c>
      <c r="I1300" s="34">
        <f>+POWER_Regional_Daily_20150101_20190305_c11b3312[[#This Row],[Column8]]/100</f>
        <v>4.16</v>
      </c>
      <c r="J1300" s="34"/>
    </row>
    <row r="1301" spans="1:10" x14ac:dyDescent="0.25">
      <c r="A1301" s="34" t="s">
        <v>164</v>
      </c>
      <c r="B1301" s="34" t="s">
        <v>165</v>
      </c>
      <c r="C1301" t="s">
        <v>269</v>
      </c>
      <c r="D1301" t="s">
        <v>178</v>
      </c>
      <c r="E1301" t="s">
        <v>184</v>
      </c>
      <c r="F1301" t="s">
        <v>213</v>
      </c>
      <c r="G1301" t="s">
        <v>169</v>
      </c>
      <c r="H1301">
        <v>539</v>
      </c>
      <c r="I1301" s="34">
        <f>+POWER_Regional_Daily_20150101_20190305_c11b3312[[#This Row],[Column8]]/100</f>
        <v>5.39</v>
      </c>
      <c r="J1301" s="34"/>
    </row>
    <row r="1302" spans="1:10" x14ac:dyDescent="0.25">
      <c r="A1302" s="34" t="s">
        <v>164</v>
      </c>
      <c r="B1302" s="34" t="s">
        <v>165</v>
      </c>
      <c r="C1302" t="s">
        <v>269</v>
      </c>
      <c r="D1302" t="s">
        <v>178</v>
      </c>
      <c r="E1302" t="s">
        <v>186</v>
      </c>
      <c r="F1302" t="s">
        <v>232</v>
      </c>
      <c r="G1302" t="s">
        <v>169</v>
      </c>
      <c r="H1302">
        <v>593</v>
      </c>
      <c r="I1302" s="34">
        <f>+POWER_Regional_Daily_20150101_20190305_c11b3312[[#This Row],[Column8]]/100</f>
        <v>5.93</v>
      </c>
      <c r="J1302" s="34"/>
    </row>
    <row r="1303" spans="1:10" x14ac:dyDescent="0.25">
      <c r="A1303" s="34" t="s">
        <v>164</v>
      </c>
      <c r="B1303" s="34" t="s">
        <v>165</v>
      </c>
      <c r="C1303" t="s">
        <v>269</v>
      </c>
      <c r="D1303" t="s">
        <v>178</v>
      </c>
      <c r="E1303" t="s">
        <v>188</v>
      </c>
      <c r="F1303" t="s">
        <v>238</v>
      </c>
      <c r="G1303" t="s">
        <v>169</v>
      </c>
      <c r="H1303">
        <v>626</v>
      </c>
      <c r="I1303" s="34">
        <f>+POWER_Regional_Daily_20150101_20190305_c11b3312[[#This Row],[Column8]]/100</f>
        <v>6.26</v>
      </c>
      <c r="J1303" s="34"/>
    </row>
    <row r="1304" spans="1:10" x14ac:dyDescent="0.25">
      <c r="A1304" s="34" t="s">
        <v>164</v>
      </c>
      <c r="B1304" s="34" t="s">
        <v>165</v>
      </c>
      <c r="C1304" t="s">
        <v>269</v>
      </c>
      <c r="D1304" t="s">
        <v>178</v>
      </c>
      <c r="E1304" t="s">
        <v>190</v>
      </c>
      <c r="F1304" t="s">
        <v>204</v>
      </c>
      <c r="G1304" t="s">
        <v>169</v>
      </c>
      <c r="H1304">
        <v>428</v>
      </c>
      <c r="I1304" s="34">
        <f>+POWER_Regional_Daily_20150101_20190305_c11b3312[[#This Row],[Column8]]/100</f>
        <v>4.28</v>
      </c>
      <c r="J1304" s="34"/>
    </row>
    <row r="1305" spans="1:10" x14ac:dyDescent="0.25">
      <c r="A1305" s="34" t="s">
        <v>164</v>
      </c>
      <c r="B1305" s="34" t="s">
        <v>165</v>
      </c>
      <c r="C1305" t="s">
        <v>269</v>
      </c>
      <c r="D1305" t="s">
        <v>178</v>
      </c>
      <c r="E1305" t="s">
        <v>192</v>
      </c>
      <c r="F1305" t="s">
        <v>187</v>
      </c>
      <c r="G1305" t="s">
        <v>169</v>
      </c>
      <c r="H1305">
        <v>-999</v>
      </c>
      <c r="I1305" s="34">
        <f>+POWER_Regional_Daily_20150101_20190305_c11b3312[[#This Row],[Column8]]/100</f>
        <v>-9.99</v>
      </c>
      <c r="J1305" s="34"/>
    </row>
    <row r="1306" spans="1:10" x14ac:dyDescent="0.25">
      <c r="A1306" s="34" t="s">
        <v>164</v>
      </c>
      <c r="B1306" s="34" t="s">
        <v>165</v>
      </c>
      <c r="C1306" t="s">
        <v>269</v>
      </c>
      <c r="D1306" t="s">
        <v>178</v>
      </c>
      <c r="E1306" t="s">
        <v>194</v>
      </c>
      <c r="F1306" t="s">
        <v>189</v>
      </c>
      <c r="G1306" t="s">
        <v>169</v>
      </c>
      <c r="H1306">
        <v>586</v>
      </c>
      <c r="I1306" s="34">
        <f>+POWER_Regional_Daily_20150101_20190305_c11b3312[[#This Row],[Column8]]/100</f>
        <v>5.86</v>
      </c>
      <c r="J1306" s="34"/>
    </row>
    <row r="1307" spans="1:10" x14ac:dyDescent="0.25">
      <c r="A1307" s="34" t="s">
        <v>164</v>
      </c>
      <c r="B1307" s="34" t="s">
        <v>165</v>
      </c>
      <c r="C1307" t="s">
        <v>269</v>
      </c>
      <c r="D1307" t="s">
        <v>178</v>
      </c>
      <c r="E1307" t="s">
        <v>196</v>
      </c>
      <c r="F1307" t="s">
        <v>222</v>
      </c>
      <c r="G1307" t="s">
        <v>169</v>
      </c>
      <c r="H1307">
        <v>535</v>
      </c>
      <c r="I1307" s="34">
        <f>+POWER_Regional_Daily_20150101_20190305_c11b3312[[#This Row],[Column8]]/100</f>
        <v>5.35</v>
      </c>
      <c r="J1307" s="34"/>
    </row>
    <row r="1308" spans="1:10" x14ac:dyDescent="0.25">
      <c r="A1308" s="34" t="s">
        <v>164</v>
      </c>
      <c r="B1308" s="34" t="s">
        <v>165</v>
      </c>
      <c r="C1308" t="s">
        <v>269</v>
      </c>
      <c r="D1308" t="s">
        <v>178</v>
      </c>
      <c r="E1308" t="s">
        <v>198</v>
      </c>
      <c r="F1308" t="s">
        <v>189</v>
      </c>
      <c r="G1308" t="s">
        <v>169</v>
      </c>
      <c r="H1308">
        <v>584</v>
      </c>
      <c r="I1308" s="34">
        <f>+POWER_Regional_Daily_20150101_20190305_c11b3312[[#This Row],[Column8]]/100</f>
        <v>5.84</v>
      </c>
      <c r="J1308" s="34"/>
    </row>
    <row r="1309" spans="1:10" x14ac:dyDescent="0.25">
      <c r="A1309" s="34" t="s">
        <v>164</v>
      </c>
      <c r="B1309" s="34" t="s">
        <v>165</v>
      </c>
      <c r="C1309" t="s">
        <v>269</v>
      </c>
      <c r="D1309" t="s">
        <v>178</v>
      </c>
      <c r="E1309" t="s">
        <v>199</v>
      </c>
      <c r="F1309" t="s">
        <v>181</v>
      </c>
      <c r="G1309" t="s">
        <v>169</v>
      </c>
      <c r="H1309">
        <v>552</v>
      </c>
      <c r="I1309" s="34">
        <f>+POWER_Regional_Daily_20150101_20190305_c11b3312[[#This Row],[Column8]]/100</f>
        <v>5.52</v>
      </c>
      <c r="J1309" s="34"/>
    </row>
    <row r="1310" spans="1:10" x14ac:dyDescent="0.25">
      <c r="A1310" s="34" t="s">
        <v>164</v>
      </c>
      <c r="B1310" s="34" t="s">
        <v>165</v>
      </c>
      <c r="C1310" t="s">
        <v>269</v>
      </c>
      <c r="D1310" t="s">
        <v>178</v>
      </c>
      <c r="E1310" t="s">
        <v>200</v>
      </c>
      <c r="F1310" t="s">
        <v>235</v>
      </c>
      <c r="G1310" t="s">
        <v>169</v>
      </c>
      <c r="H1310">
        <v>494</v>
      </c>
      <c r="I1310" s="34">
        <f>+POWER_Regional_Daily_20150101_20190305_c11b3312[[#This Row],[Column8]]/100</f>
        <v>4.9400000000000004</v>
      </c>
      <c r="J1310" s="34"/>
    </row>
    <row r="1311" spans="1:10" x14ac:dyDescent="0.25">
      <c r="A1311" s="34" t="s">
        <v>164</v>
      </c>
      <c r="B1311" s="34" t="s">
        <v>165</v>
      </c>
      <c r="C1311" t="s">
        <v>269</v>
      </c>
      <c r="D1311" t="s">
        <v>178</v>
      </c>
      <c r="E1311" t="s">
        <v>202</v>
      </c>
      <c r="F1311" t="s">
        <v>231</v>
      </c>
      <c r="G1311" t="s">
        <v>169</v>
      </c>
      <c r="H1311">
        <v>476</v>
      </c>
      <c r="I1311" s="34">
        <f>+POWER_Regional_Daily_20150101_20190305_c11b3312[[#This Row],[Column8]]/100</f>
        <v>4.76</v>
      </c>
      <c r="J1311" s="34"/>
    </row>
    <row r="1312" spans="1:10" x14ac:dyDescent="0.25">
      <c r="A1312" s="34" t="s">
        <v>164</v>
      </c>
      <c r="B1312" s="34" t="s">
        <v>165</v>
      </c>
      <c r="C1312" t="s">
        <v>269</v>
      </c>
      <c r="D1312" t="s">
        <v>178</v>
      </c>
      <c r="E1312" t="s">
        <v>203</v>
      </c>
      <c r="F1312" t="s">
        <v>209</v>
      </c>
      <c r="G1312" t="s">
        <v>169</v>
      </c>
      <c r="H1312">
        <v>511</v>
      </c>
      <c r="I1312" s="34">
        <f>+POWER_Regional_Daily_20150101_20190305_c11b3312[[#This Row],[Column8]]/100</f>
        <v>5.1100000000000003</v>
      </c>
      <c r="J1312" s="34"/>
    </row>
    <row r="1313" spans="1:10" x14ac:dyDescent="0.25">
      <c r="A1313" s="34" t="s">
        <v>164</v>
      </c>
      <c r="B1313" s="34" t="s">
        <v>165</v>
      </c>
      <c r="C1313" t="s">
        <v>269</v>
      </c>
      <c r="D1313" t="s">
        <v>178</v>
      </c>
      <c r="E1313" t="s">
        <v>205</v>
      </c>
      <c r="F1313" t="s">
        <v>224</v>
      </c>
      <c r="G1313" t="s">
        <v>169</v>
      </c>
      <c r="H1313">
        <v>452</v>
      </c>
      <c r="I1313" s="34">
        <f>+POWER_Regional_Daily_20150101_20190305_c11b3312[[#This Row],[Column8]]/100</f>
        <v>4.5199999999999996</v>
      </c>
      <c r="J1313" s="34"/>
    </row>
    <row r="1314" spans="1:10" x14ac:dyDescent="0.25">
      <c r="A1314" s="34" t="s">
        <v>164</v>
      </c>
      <c r="B1314" s="34" t="s">
        <v>165</v>
      </c>
      <c r="C1314" t="s">
        <v>269</v>
      </c>
      <c r="D1314" t="s">
        <v>178</v>
      </c>
      <c r="E1314" t="s">
        <v>207</v>
      </c>
      <c r="F1314" t="s">
        <v>231</v>
      </c>
      <c r="G1314" t="s">
        <v>169</v>
      </c>
      <c r="H1314">
        <v>477</v>
      </c>
      <c r="I1314" s="34">
        <f>+POWER_Regional_Daily_20150101_20190305_c11b3312[[#This Row],[Column8]]/100</f>
        <v>4.7699999999999996</v>
      </c>
      <c r="J1314" s="34"/>
    </row>
    <row r="1315" spans="1:10" x14ac:dyDescent="0.25">
      <c r="A1315" s="34" t="s">
        <v>164</v>
      </c>
      <c r="B1315" s="34" t="s">
        <v>165</v>
      </c>
      <c r="C1315" t="s">
        <v>269</v>
      </c>
      <c r="D1315" t="s">
        <v>178</v>
      </c>
      <c r="E1315" t="s">
        <v>208</v>
      </c>
      <c r="F1315" t="s">
        <v>246</v>
      </c>
      <c r="G1315" t="s">
        <v>169</v>
      </c>
      <c r="H1315">
        <v>378</v>
      </c>
      <c r="I1315" s="34">
        <f>+POWER_Regional_Daily_20150101_20190305_c11b3312[[#This Row],[Column8]]/100</f>
        <v>3.78</v>
      </c>
      <c r="J1315" s="34"/>
    </row>
    <row r="1316" spans="1:10" x14ac:dyDescent="0.25">
      <c r="A1316" s="34" t="s">
        <v>164</v>
      </c>
      <c r="B1316" s="34" t="s">
        <v>165</v>
      </c>
      <c r="C1316" t="s">
        <v>269</v>
      </c>
      <c r="D1316" t="s">
        <v>178</v>
      </c>
      <c r="E1316" t="s">
        <v>210</v>
      </c>
      <c r="F1316" t="s">
        <v>168</v>
      </c>
      <c r="G1316" t="s">
        <v>169</v>
      </c>
      <c r="H1316">
        <v>623</v>
      </c>
      <c r="I1316" s="34">
        <f>+POWER_Regional_Daily_20150101_20190305_c11b3312[[#This Row],[Column8]]/100</f>
        <v>6.23</v>
      </c>
      <c r="J1316" s="34"/>
    </row>
    <row r="1317" spans="1:10" x14ac:dyDescent="0.25">
      <c r="A1317" s="34" t="s">
        <v>164</v>
      </c>
      <c r="B1317" s="34" t="s">
        <v>165</v>
      </c>
      <c r="C1317" t="s">
        <v>269</v>
      </c>
      <c r="D1317" t="s">
        <v>178</v>
      </c>
      <c r="E1317" t="s">
        <v>212</v>
      </c>
      <c r="F1317" t="s">
        <v>233</v>
      </c>
      <c r="G1317" t="s">
        <v>169</v>
      </c>
      <c r="H1317">
        <v>461</v>
      </c>
      <c r="I1317" s="34">
        <f>+POWER_Regional_Daily_20150101_20190305_c11b3312[[#This Row],[Column8]]/100</f>
        <v>4.6100000000000003</v>
      </c>
      <c r="J1317" s="34"/>
    </row>
    <row r="1318" spans="1:10" x14ac:dyDescent="0.25">
      <c r="A1318" s="34" t="s">
        <v>164</v>
      </c>
      <c r="B1318" s="34" t="s">
        <v>165</v>
      </c>
      <c r="C1318" t="s">
        <v>269</v>
      </c>
      <c r="D1318" t="s">
        <v>178</v>
      </c>
      <c r="E1318" t="s">
        <v>214</v>
      </c>
      <c r="F1318" t="s">
        <v>229</v>
      </c>
      <c r="G1318" t="s">
        <v>169</v>
      </c>
      <c r="H1318">
        <v>353</v>
      </c>
      <c r="I1318" s="34">
        <f>+POWER_Regional_Daily_20150101_20190305_c11b3312[[#This Row],[Column8]]/100</f>
        <v>3.53</v>
      </c>
      <c r="J1318" s="34"/>
    </row>
    <row r="1319" spans="1:10" x14ac:dyDescent="0.25">
      <c r="A1319" s="34" t="s">
        <v>164</v>
      </c>
      <c r="B1319" s="34" t="s">
        <v>165</v>
      </c>
      <c r="C1319" t="s">
        <v>269</v>
      </c>
      <c r="D1319" t="s">
        <v>178</v>
      </c>
      <c r="E1319" t="s">
        <v>215</v>
      </c>
      <c r="F1319" t="s">
        <v>222</v>
      </c>
      <c r="G1319" t="s">
        <v>169</v>
      </c>
      <c r="H1319">
        <v>545</v>
      </c>
      <c r="I1319" s="34">
        <f>+POWER_Regional_Daily_20150101_20190305_c11b3312[[#This Row],[Column8]]/100</f>
        <v>5.45</v>
      </c>
      <c r="J1319" s="34"/>
    </row>
    <row r="1320" spans="1:10" x14ac:dyDescent="0.25">
      <c r="A1320" s="34" t="s">
        <v>164</v>
      </c>
      <c r="B1320" s="34" t="s">
        <v>165</v>
      </c>
      <c r="C1320" t="s">
        <v>269</v>
      </c>
      <c r="D1320" t="s">
        <v>178</v>
      </c>
      <c r="E1320" t="s">
        <v>217</v>
      </c>
      <c r="F1320" t="s">
        <v>230</v>
      </c>
      <c r="G1320" t="s">
        <v>169</v>
      </c>
      <c r="H1320">
        <v>375</v>
      </c>
      <c r="I1320" s="34">
        <f>+POWER_Regional_Daily_20150101_20190305_c11b3312[[#This Row],[Column8]]/100</f>
        <v>3.75</v>
      </c>
      <c r="J1320" s="34"/>
    </row>
    <row r="1321" spans="1:10" x14ac:dyDescent="0.25">
      <c r="A1321" s="34" t="s">
        <v>164</v>
      </c>
      <c r="B1321" s="34" t="s">
        <v>165</v>
      </c>
      <c r="C1321" t="s">
        <v>269</v>
      </c>
      <c r="D1321" t="s">
        <v>178</v>
      </c>
      <c r="E1321" t="s">
        <v>219</v>
      </c>
      <c r="F1321" t="s">
        <v>187</v>
      </c>
      <c r="G1321" t="s">
        <v>169</v>
      </c>
      <c r="H1321">
        <v>-999</v>
      </c>
      <c r="I1321" s="34">
        <f>+POWER_Regional_Daily_20150101_20190305_c11b3312[[#This Row],[Column8]]/100</f>
        <v>-9.99</v>
      </c>
      <c r="J1321" s="34"/>
    </row>
    <row r="1322" spans="1:10" x14ac:dyDescent="0.25">
      <c r="A1322" s="34" t="s">
        <v>164</v>
      </c>
      <c r="B1322" s="34" t="s">
        <v>165</v>
      </c>
      <c r="C1322" t="s">
        <v>269</v>
      </c>
      <c r="D1322" t="s">
        <v>178</v>
      </c>
      <c r="E1322" t="s">
        <v>220</v>
      </c>
      <c r="F1322" t="s">
        <v>193</v>
      </c>
      <c r="G1322" t="s">
        <v>169</v>
      </c>
      <c r="H1322">
        <v>406</v>
      </c>
      <c r="I1322" s="34">
        <f>+POWER_Regional_Daily_20150101_20190305_c11b3312[[#This Row],[Column8]]/100</f>
        <v>4.0599999999999996</v>
      </c>
      <c r="J1322" s="34"/>
    </row>
    <row r="1323" spans="1:10" x14ac:dyDescent="0.25">
      <c r="A1323" s="34" t="s">
        <v>164</v>
      </c>
      <c r="B1323" s="34" t="s">
        <v>165</v>
      </c>
      <c r="C1323" t="s">
        <v>269</v>
      </c>
      <c r="D1323" t="s">
        <v>180</v>
      </c>
      <c r="E1323" t="s">
        <v>167</v>
      </c>
      <c r="F1323" t="s">
        <v>181</v>
      </c>
      <c r="G1323" t="s">
        <v>169</v>
      </c>
      <c r="H1323">
        <v>560</v>
      </c>
      <c r="I1323" s="34">
        <f>+POWER_Regional_Daily_20150101_20190305_c11b3312[[#This Row],[Column8]]/100</f>
        <v>5.6</v>
      </c>
      <c r="J1323" s="34"/>
    </row>
    <row r="1324" spans="1:10" x14ac:dyDescent="0.25">
      <c r="A1324" s="34" t="s">
        <v>164</v>
      </c>
      <c r="B1324" s="34" t="s">
        <v>165</v>
      </c>
      <c r="C1324" t="s">
        <v>269</v>
      </c>
      <c r="D1324" t="s">
        <v>180</v>
      </c>
      <c r="E1324" t="s">
        <v>170</v>
      </c>
      <c r="F1324" t="s">
        <v>201</v>
      </c>
      <c r="G1324" t="s">
        <v>169</v>
      </c>
      <c r="H1324">
        <v>535</v>
      </c>
      <c r="I1324" s="34">
        <f>+POWER_Regional_Daily_20150101_20190305_c11b3312[[#This Row],[Column8]]/100</f>
        <v>5.35</v>
      </c>
      <c r="J1324" s="34"/>
    </row>
    <row r="1325" spans="1:10" x14ac:dyDescent="0.25">
      <c r="A1325" s="34" t="s">
        <v>164</v>
      </c>
      <c r="B1325" s="34" t="s">
        <v>165</v>
      </c>
      <c r="C1325" t="s">
        <v>269</v>
      </c>
      <c r="D1325" t="s">
        <v>180</v>
      </c>
      <c r="E1325" t="s">
        <v>172</v>
      </c>
      <c r="F1325" t="s">
        <v>181</v>
      </c>
      <c r="G1325" t="s">
        <v>169</v>
      </c>
      <c r="H1325">
        <v>561</v>
      </c>
      <c r="I1325" s="34">
        <f>+POWER_Regional_Daily_20150101_20190305_c11b3312[[#This Row],[Column8]]/100</f>
        <v>5.61</v>
      </c>
      <c r="J1325" s="34"/>
    </row>
    <row r="1326" spans="1:10" x14ac:dyDescent="0.25">
      <c r="A1326" s="34" t="s">
        <v>164</v>
      </c>
      <c r="B1326" s="34" t="s">
        <v>165</v>
      </c>
      <c r="C1326" t="s">
        <v>269</v>
      </c>
      <c r="D1326" t="s">
        <v>180</v>
      </c>
      <c r="E1326" t="s">
        <v>174</v>
      </c>
      <c r="F1326" t="s">
        <v>201</v>
      </c>
      <c r="G1326" t="s">
        <v>169</v>
      </c>
      <c r="H1326">
        <v>533</v>
      </c>
      <c r="I1326" s="34">
        <f>+POWER_Regional_Daily_20150101_20190305_c11b3312[[#This Row],[Column8]]/100</f>
        <v>5.33</v>
      </c>
      <c r="J1326" s="34"/>
    </row>
    <row r="1327" spans="1:10" x14ac:dyDescent="0.25">
      <c r="A1327" s="34" t="s">
        <v>164</v>
      </c>
      <c r="B1327" s="34" t="s">
        <v>165</v>
      </c>
      <c r="C1327" t="s">
        <v>269</v>
      </c>
      <c r="D1327" t="s">
        <v>180</v>
      </c>
      <c r="E1327" t="s">
        <v>175</v>
      </c>
      <c r="F1327" t="s">
        <v>216</v>
      </c>
      <c r="G1327" t="s">
        <v>169</v>
      </c>
      <c r="H1327">
        <v>323</v>
      </c>
      <c r="I1327" s="34">
        <f>+POWER_Regional_Daily_20150101_20190305_c11b3312[[#This Row],[Column8]]/100</f>
        <v>3.23</v>
      </c>
      <c r="J1327" s="34"/>
    </row>
    <row r="1328" spans="1:10" x14ac:dyDescent="0.25">
      <c r="A1328" s="34" t="s">
        <v>164</v>
      </c>
      <c r="B1328" s="34" t="s">
        <v>165</v>
      </c>
      <c r="C1328" t="s">
        <v>269</v>
      </c>
      <c r="D1328" t="s">
        <v>180</v>
      </c>
      <c r="E1328" t="s">
        <v>177</v>
      </c>
      <c r="F1328" t="s">
        <v>250</v>
      </c>
      <c r="G1328" t="s">
        <v>169</v>
      </c>
      <c r="H1328">
        <v>646</v>
      </c>
      <c r="I1328" s="34">
        <f>+POWER_Regional_Daily_20150101_20190305_c11b3312[[#This Row],[Column8]]/100</f>
        <v>6.46</v>
      </c>
      <c r="J1328" s="34"/>
    </row>
    <row r="1329" spans="1:10" x14ac:dyDescent="0.25">
      <c r="A1329" s="34" t="s">
        <v>164</v>
      </c>
      <c r="B1329" s="34" t="s">
        <v>165</v>
      </c>
      <c r="C1329" t="s">
        <v>269</v>
      </c>
      <c r="D1329" t="s">
        <v>180</v>
      </c>
      <c r="E1329" t="s">
        <v>178</v>
      </c>
      <c r="F1329" t="s">
        <v>234</v>
      </c>
      <c r="G1329" t="s">
        <v>320</v>
      </c>
      <c r="H1329">
        <v>657</v>
      </c>
      <c r="I1329" s="34">
        <f>+POWER_Regional_Daily_20150101_20190305_c11b3312[[#This Row],[Column8]]/100</f>
        <v>6.57</v>
      </c>
      <c r="J1329" s="34"/>
    </row>
    <row r="1330" spans="1:10" x14ac:dyDescent="0.25">
      <c r="A1330" s="34" t="s">
        <v>164</v>
      </c>
      <c r="B1330" s="34" t="s">
        <v>165</v>
      </c>
      <c r="C1330" t="s">
        <v>269</v>
      </c>
      <c r="D1330" t="s">
        <v>180</v>
      </c>
      <c r="E1330" t="s">
        <v>180</v>
      </c>
      <c r="F1330" t="s">
        <v>250</v>
      </c>
      <c r="G1330" t="s">
        <v>169</v>
      </c>
      <c r="H1330">
        <v>650</v>
      </c>
      <c r="I1330" s="34">
        <f>+POWER_Regional_Daily_20150101_20190305_c11b3312[[#This Row],[Column8]]/100</f>
        <v>6.5</v>
      </c>
      <c r="J1330" s="34"/>
    </row>
    <row r="1331" spans="1:10" x14ac:dyDescent="0.25">
      <c r="A1331" s="34" t="s">
        <v>164</v>
      </c>
      <c r="B1331" s="34" t="s">
        <v>165</v>
      </c>
      <c r="C1331" t="s">
        <v>269</v>
      </c>
      <c r="D1331" t="s">
        <v>180</v>
      </c>
      <c r="E1331" t="s">
        <v>182</v>
      </c>
      <c r="F1331" t="s">
        <v>213</v>
      </c>
      <c r="G1331" t="s">
        <v>169</v>
      </c>
      <c r="H1331">
        <v>559</v>
      </c>
      <c r="I1331" s="34">
        <f>+POWER_Regional_Daily_20150101_20190305_c11b3312[[#This Row],[Column8]]/100</f>
        <v>5.59</v>
      </c>
      <c r="J1331" s="34"/>
    </row>
    <row r="1332" spans="1:10" x14ac:dyDescent="0.25">
      <c r="A1332" s="34" t="s">
        <v>164</v>
      </c>
      <c r="B1332" s="34" t="s">
        <v>165</v>
      </c>
      <c r="C1332" t="s">
        <v>269</v>
      </c>
      <c r="D1332" t="s">
        <v>180</v>
      </c>
      <c r="E1332" t="s">
        <v>184</v>
      </c>
      <c r="F1332" t="s">
        <v>171</v>
      </c>
      <c r="G1332" t="s">
        <v>169</v>
      </c>
      <c r="H1332">
        <v>692</v>
      </c>
      <c r="I1332" s="34">
        <f>+POWER_Regional_Daily_20150101_20190305_c11b3312[[#This Row],[Column8]]/100</f>
        <v>6.92</v>
      </c>
      <c r="J1332" s="34"/>
    </row>
    <row r="1333" spans="1:10" x14ac:dyDescent="0.25">
      <c r="A1333" s="34" t="s">
        <v>164</v>
      </c>
      <c r="B1333" s="34" t="s">
        <v>165</v>
      </c>
      <c r="C1333" t="s">
        <v>269</v>
      </c>
      <c r="D1333" t="s">
        <v>180</v>
      </c>
      <c r="E1333" t="s">
        <v>186</v>
      </c>
      <c r="F1333" t="s">
        <v>247</v>
      </c>
      <c r="G1333" t="s">
        <v>318</v>
      </c>
      <c r="H1333">
        <v>699</v>
      </c>
      <c r="I1333" s="34">
        <f>+POWER_Regional_Daily_20150101_20190305_c11b3312[[#This Row],[Column8]]/100</f>
        <v>6.99</v>
      </c>
      <c r="J1333" s="34"/>
    </row>
    <row r="1334" spans="1:10" x14ac:dyDescent="0.25">
      <c r="A1334" s="34" t="s">
        <v>164</v>
      </c>
      <c r="B1334" s="34" t="s">
        <v>165</v>
      </c>
      <c r="C1334" t="s">
        <v>269</v>
      </c>
      <c r="D1334" t="s">
        <v>180</v>
      </c>
      <c r="E1334" t="s">
        <v>188</v>
      </c>
      <c r="F1334" t="s">
        <v>201</v>
      </c>
      <c r="G1334" t="s">
        <v>169</v>
      </c>
      <c r="H1334">
        <v>539</v>
      </c>
      <c r="I1334" s="34">
        <f>+POWER_Regional_Daily_20150101_20190305_c11b3312[[#This Row],[Column8]]/100</f>
        <v>5.39</v>
      </c>
      <c r="J1334" s="34"/>
    </row>
    <row r="1335" spans="1:10" x14ac:dyDescent="0.25">
      <c r="A1335" s="34" t="s">
        <v>164</v>
      </c>
      <c r="B1335" s="34" t="s">
        <v>165</v>
      </c>
      <c r="C1335" t="s">
        <v>269</v>
      </c>
      <c r="D1335" t="s">
        <v>180</v>
      </c>
      <c r="E1335" t="s">
        <v>190</v>
      </c>
      <c r="F1335" t="s">
        <v>181</v>
      </c>
      <c r="G1335" t="s">
        <v>169</v>
      </c>
      <c r="H1335">
        <v>566</v>
      </c>
      <c r="I1335" s="34">
        <f>+POWER_Regional_Daily_20150101_20190305_c11b3312[[#This Row],[Column8]]/100</f>
        <v>5.66</v>
      </c>
      <c r="J1335" s="34"/>
    </row>
    <row r="1336" spans="1:10" x14ac:dyDescent="0.25">
      <c r="A1336" s="34" t="s">
        <v>164</v>
      </c>
      <c r="B1336" s="34" t="s">
        <v>165</v>
      </c>
      <c r="C1336" t="s">
        <v>269</v>
      </c>
      <c r="D1336" t="s">
        <v>180</v>
      </c>
      <c r="E1336" t="s">
        <v>192</v>
      </c>
      <c r="F1336" t="s">
        <v>242</v>
      </c>
      <c r="G1336" t="s">
        <v>169</v>
      </c>
      <c r="H1336">
        <v>255</v>
      </c>
      <c r="I1336" s="34">
        <f>+POWER_Regional_Daily_20150101_20190305_c11b3312[[#This Row],[Column8]]/100</f>
        <v>2.5499999999999998</v>
      </c>
      <c r="J1336" s="34"/>
    </row>
    <row r="1337" spans="1:10" x14ac:dyDescent="0.25">
      <c r="A1337" s="34" t="s">
        <v>164</v>
      </c>
      <c r="B1337" s="34" t="s">
        <v>165</v>
      </c>
      <c r="C1337" t="s">
        <v>269</v>
      </c>
      <c r="D1337" t="s">
        <v>180</v>
      </c>
      <c r="E1337" t="s">
        <v>194</v>
      </c>
      <c r="F1337" t="s">
        <v>187</v>
      </c>
      <c r="G1337" t="s">
        <v>169</v>
      </c>
      <c r="H1337">
        <v>-999</v>
      </c>
      <c r="I1337" s="34">
        <f>+POWER_Regional_Daily_20150101_20190305_c11b3312[[#This Row],[Column8]]/100</f>
        <v>-9.99</v>
      </c>
      <c r="J1337" s="34"/>
    </row>
    <row r="1338" spans="1:10" x14ac:dyDescent="0.25">
      <c r="A1338" s="34" t="s">
        <v>164</v>
      </c>
      <c r="B1338" s="34" t="s">
        <v>165</v>
      </c>
      <c r="C1338" t="s">
        <v>269</v>
      </c>
      <c r="D1338" t="s">
        <v>180</v>
      </c>
      <c r="E1338" t="s">
        <v>196</v>
      </c>
      <c r="F1338" t="s">
        <v>171</v>
      </c>
      <c r="G1338" t="s">
        <v>264</v>
      </c>
      <c r="H1338">
        <v>689</v>
      </c>
      <c r="I1338" s="34">
        <f>+POWER_Regional_Daily_20150101_20190305_c11b3312[[#This Row],[Column8]]/100</f>
        <v>6.89</v>
      </c>
      <c r="J1338" s="34"/>
    </row>
    <row r="1339" spans="1:10" x14ac:dyDescent="0.25">
      <c r="A1339" s="34" t="s">
        <v>164</v>
      </c>
      <c r="B1339" s="34" t="s">
        <v>165</v>
      </c>
      <c r="C1339" t="s">
        <v>269</v>
      </c>
      <c r="D1339" t="s">
        <v>180</v>
      </c>
      <c r="E1339" t="s">
        <v>198</v>
      </c>
      <c r="F1339" t="s">
        <v>189</v>
      </c>
      <c r="G1339" t="s">
        <v>169</v>
      </c>
      <c r="H1339">
        <v>599</v>
      </c>
      <c r="I1339" s="34">
        <f>+POWER_Regional_Daily_20150101_20190305_c11b3312[[#This Row],[Column8]]/100</f>
        <v>5.99</v>
      </c>
      <c r="J1339" s="34"/>
    </row>
    <row r="1340" spans="1:10" x14ac:dyDescent="0.25">
      <c r="A1340" s="34" t="s">
        <v>164</v>
      </c>
      <c r="B1340" s="34" t="s">
        <v>165</v>
      </c>
      <c r="C1340" t="s">
        <v>269</v>
      </c>
      <c r="D1340" t="s">
        <v>180</v>
      </c>
      <c r="E1340" t="s">
        <v>199</v>
      </c>
      <c r="F1340" t="s">
        <v>236</v>
      </c>
      <c r="G1340" t="s">
        <v>169</v>
      </c>
      <c r="H1340">
        <v>528</v>
      </c>
      <c r="I1340" s="34">
        <f>+POWER_Regional_Daily_20150101_20190305_c11b3312[[#This Row],[Column8]]/100</f>
        <v>5.28</v>
      </c>
      <c r="J1340" s="34"/>
    </row>
    <row r="1341" spans="1:10" x14ac:dyDescent="0.25">
      <c r="A1341" s="34" t="s">
        <v>164</v>
      </c>
      <c r="B1341" s="34" t="s">
        <v>165</v>
      </c>
      <c r="C1341" t="s">
        <v>269</v>
      </c>
      <c r="D1341" t="s">
        <v>180</v>
      </c>
      <c r="E1341" t="s">
        <v>200</v>
      </c>
      <c r="F1341" t="s">
        <v>224</v>
      </c>
      <c r="G1341" t="s">
        <v>169</v>
      </c>
      <c r="H1341">
        <v>464</v>
      </c>
      <c r="I1341" s="34">
        <f>+POWER_Regional_Daily_20150101_20190305_c11b3312[[#This Row],[Column8]]/100</f>
        <v>4.6399999999999997</v>
      </c>
      <c r="J1341" s="34"/>
    </row>
    <row r="1342" spans="1:10" x14ac:dyDescent="0.25">
      <c r="A1342" s="34" t="s">
        <v>164</v>
      </c>
      <c r="B1342" s="34" t="s">
        <v>165</v>
      </c>
      <c r="C1342" t="s">
        <v>269</v>
      </c>
      <c r="D1342" t="s">
        <v>180</v>
      </c>
      <c r="E1342" t="s">
        <v>202</v>
      </c>
      <c r="F1342" t="s">
        <v>189</v>
      </c>
      <c r="G1342" t="s">
        <v>169</v>
      </c>
      <c r="H1342">
        <v>604</v>
      </c>
      <c r="I1342" s="34">
        <f>+POWER_Regional_Daily_20150101_20190305_c11b3312[[#This Row],[Column8]]/100</f>
        <v>6.04</v>
      </c>
      <c r="J1342" s="34"/>
    </row>
    <row r="1343" spans="1:10" x14ac:dyDescent="0.25">
      <c r="A1343" s="34" t="s">
        <v>164</v>
      </c>
      <c r="B1343" s="34" t="s">
        <v>165</v>
      </c>
      <c r="C1343" t="s">
        <v>269</v>
      </c>
      <c r="D1343" t="s">
        <v>180</v>
      </c>
      <c r="E1343" t="s">
        <v>203</v>
      </c>
      <c r="F1343" t="s">
        <v>223</v>
      </c>
      <c r="G1343" t="s">
        <v>169</v>
      </c>
      <c r="H1343">
        <v>501</v>
      </c>
      <c r="I1343" s="34">
        <f>+POWER_Regional_Daily_20150101_20190305_c11b3312[[#This Row],[Column8]]/100</f>
        <v>5.01</v>
      </c>
      <c r="J1343" s="34"/>
    </row>
    <row r="1344" spans="1:10" x14ac:dyDescent="0.25">
      <c r="A1344" s="34" t="s">
        <v>164</v>
      </c>
      <c r="B1344" s="34" t="s">
        <v>165</v>
      </c>
      <c r="C1344" t="s">
        <v>269</v>
      </c>
      <c r="D1344" t="s">
        <v>180</v>
      </c>
      <c r="E1344" t="s">
        <v>205</v>
      </c>
      <c r="F1344" t="s">
        <v>222</v>
      </c>
      <c r="G1344" t="s">
        <v>169</v>
      </c>
      <c r="H1344">
        <v>550</v>
      </c>
      <c r="I1344" s="34">
        <f>+POWER_Regional_Daily_20150101_20190305_c11b3312[[#This Row],[Column8]]/100</f>
        <v>5.5</v>
      </c>
      <c r="J1344" s="34"/>
    </row>
    <row r="1345" spans="1:10" x14ac:dyDescent="0.25">
      <c r="A1345" s="34" t="s">
        <v>164</v>
      </c>
      <c r="B1345" s="34" t="s">
        <v>165</v>
      </c>
      <c r="C1345" t="s">
        <v>269</v>
      </c>
      <c r="D1345" t="s">
        <v>180</v>
      </c>
      <c r="E1345" t="s">
        <v>207</v>
      </c>
      <c r="F1345" t="s">
        <v>183</v>
      </c>
      <c r="G1345" t="s">
        <v>169</v>
      </c>
      <c r="H1345">
        <v>587</v>
      </c>
      <c r="I1345" s="34">
        <f>+POWER_Regional_Daily_20150101_20190305_c11b3312[[#This Row],[Column8]]/100</f>
        <v>5.87</v>
      </c>
      <c r="J1345" s="34"/>
    </row>
    <row r="1346" spans="1:10" x14ac:dyDescent="0.25">
      <c r="A1346" s="34" t="s">
        <v>164</v>
      </c>
      <c r="B1346" s="34" t="s">
        <v>165</v>
      </c>
      <c r="C1346" t="s">
        <v>269</v>
      </c>
      <c r="D1346" t="s">
        <v>180</v>
      </c>
      <c r="E1346" t="s">
        <v>208</v>
      </c>
      <c r="F1346" t="s">
        <v>187</v>
      </c>
      <c r="G1346" t="s">
        <v>169</v>
      </c>
      <c r="H1346">
        <v>-999</v>
      </c>
      <c r="I1346" s="34">
        <f>+POWER_Regional_Daily_20150101_20190305_c11b3312[[#This Row],[Column8]]/100</f>
        <v>-9.99</v>
      </c>
      <c r="J1346" s="34"/>
    </row>
    <row r="1347" spans="1:10" x14ac:dyDescent="0.25">
      <c r="A1347" s="34" t="s">
        <v>164</v>
      </c>
      <c r="B1347" s="34" t="s">
        <v>165</v>
      </c>
      <c r="C1347" t="s">
        <v>269</v>
      </c>
      <c r="D1347" t="s">
        <v>180</v>
      </c>
      <c r="E1347" t="s">
        <v>210</v>
      </c>
      <c r="F1347" t="s">
        <v>181</v>
      </c>
      <c r="G1347" t="s">
        <v>169</v>
      </c>
      <c r="H1347">
        <v>572</v>
      </c>
      <c r="I1347" s="34">
        <f>+POWER_Regional_Daily_20150101_20190305_c11b3312[[#This Row],[Column8]]/100</f>
        <v>5.72</v>
      </c>
      <c r="J1347" s="34"/>
    </row>
    <row r="1348" spans="1:10" x14ac:dyDescent="0.25">
      <c r="A1348" s="34" t="s">
        <v>164</v>
      </c>
      <c r="B1348" s="34" t="s">
        <v>165</v>
      </c>
      <c r="C1348" t="s">
        <v>269</v>
      </c>
      <c r="D1348" t="s">
        <v>180</v>
      </c>
      <c r="E1348" t="s">
        <v>212</v>
      </c>
      <c r="F1348" t="s">
        <v>213</v>
      </c>
      <c r="G1348" t="s">
        <v>169</v>
      </c>
      <c r="H1348">
        <v>563</v>
      </c>
      <c r="I1348" s="34">
        <f>+POWER_Regional_Daily_20150101_20190305_c11b3312[[#This Row],[Column8]]/100</f>
        <v>5.63</v>
      </c>
      <c r="J1348" s="34"/>
    </row>
    <row r="1349" spans="1:10" x14ac:dyDescent="0.25">
      <c r="A1349" s="34" t="s">
        <v>164</v>
      </c>
      <c r="B1349" s="34" t="s">
        <v>165</v>
      </c>
      <c r="C1349" t="s">
        <v>269</v>
      </c>
      <c r="D1349" t="s">
        <v>180</v>
      </c>
      <c r="E1349" t="s">
        <v>214</v>
      </c>
      <c r="F1349" t="s">
        <v>181</v>
      </c>
      <c r="G1349" t="s">
        <v>169</v>
      </c>
      <c r="H1349">
        <v>578</v>
      </c>
      <c r="I1349" s="34">
        <f>+POWER_Regional_Daily_20150101_20190305_c11b3312[[#This Row],[Column8]]/100</f>
        <v>5.78</v>
      </c>
      <c r="J1349" s="34"/>
    </row>
    <row r="1350" spans="1:10" x14ac:dyDescent="0.25">
      <c r="A1350" s="34" t="s">
        <v>164</v>
      </c>
      <c r="B1350" s="34" t="s">
        <v>165</v>
      </c>
      <c r="C1350" t="s">
        <v>269</v>
      </c>
      <c r="D1350" t="s">
        <v>180</v>
      </c>
      <c r="E1350" t="s">
        <v>215</v>
      </c>
      <c r="F1350" t="s">
        <v>223</v>
      </c>
      <c r="G1350" t="s">
        <v>169</v>
      </c>
      <c r="H1350">
        <v>505</v>
      </c>
      <c r="I1350" s="34">
        <f>+POWER_Regional_Daily_20150101_20190305_c11b3312[[#This Row],[Column8]]/100</f>
        <v>5.05</v>
      </c>
      <c r="J1350" s="34"/>
    </row>
    <row r="1351" spans="1:10" x14ac:dyDescent="0.25">
      <c r="A1351" s="34" t="s">
        <v>164</v>
      </c>
      <c r="B1351" s="34" t="s">
        <v>165</v>
      </c>
      <c r="C1351" t="s">
        <v>269</v>
      </c>
      <c r="D1351" t="s">
        <v>180</v>
      </c>
      <c r="E1351" t="s">
        <v>217</v>
      </c>
      <c r="F1351" t="s">
        <v>223</v>
      </c>
      <c r="G1351" t="s">
        <v>169</v>
      </c>
      <c r="H1351">
        <v>501</v>
      </c>
      <c r="I1351" s="34">
        <f>+POWER_Regional_Daily_20150101_20190305_c11b3312[[#This Row],[Column8]]/100</f>
        <v>5.01</v>
      </c>
      <c r="J1351" s="34"/>
    </row>
    <row r="1352" spans="1:10" x14ac:dyDescent="0.25">
      <c r="A1352" s="34" t="s">
        <v>164</v>
      </c>
      <c r="B1352" s="34" t="s">
        <v>165</v>
      </c>
      <c r="C1352" t="s">
        <v>269</v>
      </c>
      <c r="D1352" t="s">
        <v>180</v>
      </c>
      <c r="E1352" t="s">
        <v>219</v>
      </c>
      <c r="F1352" t="s">
        <v>233</v>
      </c>
      <c r="G1352" t="s">
        <v>169</v>
      </c>
      <c r="H1352">
        <v>478</v>
      </c>
      <c r="I1352" s="34">
        <f>+POWER_Regional_Daily_20150101_20190305_c11b3312[[#This Row],[Column8]]/100</f>
        <v>4.78</v>
      </c>
      <c r="J1352" s="34"/>
    </row>
    <row r="1353" spans="1:10" x14ac:dyDescent="0.25">
      <c r="A1353" s="34" t="s">
        <v>164</v>
      </c>
      <c r="B1353" s="34" t="s">
        <v>165</v>
      </c>
      <c r="C1353" t="s">
        <v>269</v>
      </c>
      <c r="D1353" t="s">
        <v>180</v>
      </c>
      <c r="E1353" t="s">
        <v>220</v>
      </c>
      <c r="F1353" t="s">
        <v>187</v>
      </c>
      <c r="G1353" t="s">
        <v>169</v>
      </c>
      <c r="H1353">
        <v>-999</v>
      </c>
      <c r="I1353" s="34">
        <f>+POWER_Regional_Daily_20150101_20190305_c11b3312[[#This Row],[Column8]]/100</f>
        <v>-9.99</v>
      </c>
      <c r="J1353" s="34"/>
    </row>
    <row r="1354" spans="1:10" x14ac:dyDescent="0.25">
      <c r="A1354" s="34" t="s">
        <v>164</v>
      </c>
      <c r="B1354" s="34" t="s">
        <v>165</v>
      </c>
      <c r="C1354" t="s">
        <v>269</v>
      </c>
      <c r="D1354" t="s">
        <v>182</v>
      </c>
      <c r="E1354" t="s">
        <v>167</v>
      </c>
      <c r="F1354" t="s">
        <v>213</v>
      </c>
      <c r="G1354" t="s">
        <v>169</v>
      </c>
      <c r="H1354">
        <v>567</v>
      </c>
      <c r="I1354" s="34">
        <f>+POWER_Regional_Daily_20150101_20190305_c11b3312[[#This Row],[Column8]]/100</f>
        <v>5.67</v>
      </c>
      <c r="J1354" s="34"/>
    </row>
    <row r="1355" spans="1:10" x14ac:dyDescent="0.25">
      <c r="A1355" s="34" t="s">
        <v>164</v>
      </c>
      <c r="B1355" s="34" t="s">
        <v>165</v>
      </c>
      <c r="C1355" t="s">
        <v>269</v>
      </c>
      <c r="D1355" t="s">
        <v>182</v>
      </c>
      <c r="E1355" t="s">
        <v>170</v>
      </c>
      <c r="F1355" t="s">
        <v>218</v>
      </c>
      <c r="G1355" t="s">
        <v>169</v>
      </c>
      <c r="H1355">
        <v>598</v>
      </c>
      <c r="I1355" s="34">
        <f>+POWER_Regional_Daily_20150101_20190305_c11b3312[[#This Row],[Column8]]/100</f>
        <v>5.98</v>
      </c>
      <c r="J1355" s="34"/>
    </row>
    <row r="1356" spans="1:10" x14ac:dyDescent="0.25">
      <c r="A1356" s="34" t="s">
        <v>164</v>
      </c>
      <c r="B1356" s="34" t="s">
        <v>165</v>
      </c>
      <c r="C1356" t="s">
        <v>269</v>
      </c>
      <c r="D1356" t="s">
        <v>182</v>
      </c>
      <c r="E1356" t="s">
        <v>172</v>
      </c>
      <c r="F1356" t="s">
        <v>218</v>
      </c>
      <c r="G1356" t="s">
        <v>169</v>
      </c>
      <c r="H1356">
        <v>599</v>
      </c>
      <c r="I1356" s="34">
        <f>+POWER_Regional_Daily_20150101_20190305_c11b3312[[#This Row],[Column8]]/100</f>
        <v>5.99</v>
      </c>
      <c r="J1356" s="34"/>
    </row>
    <row r="1357" spans="1:10" x14ac:dyDescent="0.25">
      <c r="A1357" s="34" t="s">
        <v>164</v>
      </c>
      <c r="B1357" s="34" t="s">
        <v>165</v>
      </c>
      <c r="C1357" t="s">
        <v>269</v>
      </c>
      <c r="D1357" t="s">
        <v>182</v>
      </c>
      <c r="E1357" t="s">
        <v>174</v>
      </c>
      <c r="F1357" t="s">
        <v>221</v>
      </c>
      <c r="G1357" t="s">
        <v>169</v>
      </c>
      <c r="H1357">
        <v>425</v>
      </c>
      <c r="I1357" s="34">
        <f>+POWER_Regional_Daily_20150101_20190305_c11b3312[[#This Row],[Column8]]/100</f>
        <v>4.25</v>
      </c>
      <c r="J1357" s="34"/>
    </row>
    <row r="1358" spans="1:10" x14ac:dyDescent="0.25">
      <c r="A1358" s="34" t="s">
        <v>164</v>
      </c>
      <c r="B1358" s="34" t="s">
        <v>165</v>
      </c>
      <c r="C1358" t="s">
        <v>269</v>
      </c>
      <c r="D1358" t="s">
        <v>182</v>
      </c>
      <c r="E1358" t="s">
        <v>175</v>
      </c>
      <c r="F1358" t="s">
        <v>233</v>
      </c>
      <c r="G1358" t="s">
        <v>169</v>
      </c>
      <c r="H1358">
        <v>479</v>
      </c>
      <c r="I1358" s="34">
        <f>+POWER_Regional_Daily_20150101_20190305_c11b3312[[#This Row],[Column8]]/100</f>
        <v>4.79</v>
      </c>
      <c r="J1358" s="34"/>
    </row>
    <row r="1359" spans="1:10" x14ac:dyDescent="0.25">
      <c r="A1359" s="34" t="s">
        <v>164</v>
      </c>
      <c r="B1359" s="34" t="s">
        <v>165</v>
      </c>
      <c r="C1359" t="s">
        <v>269</v>
      </c>
      <c r="D1359" t="s">
        <v>182</v>
      </c>
      <c r="E1359" t="s">
        <v>177</v>
      </c>
      <c r="F1359" t="s">
        <v>224</v>
      </c>
      <c r="G1359" t="s">
        <v>169</v>
      </c>
      <c r="H1359">
        <v>463</v>
      </c>
      <c r="I1359" s="34">
        <f>+POWER_Regional_Daily_20150101_20190305_c11b3312[[#This Row],[Column8]]/100</f>
        <v>4.63</v>
      </c>
      <c r="J1359" s="34"/>
    </row>
    <row r="1360" spans="1:10" x14ac:dyDescent="0.25">
      <c r="A1360" s="34" t="s">
        <v>164</v>
      </c>
      <c r="B1360" s="34" t="s">
        <v>165</v>
      </c>
      <c r="C1360" t="s">
        <v>269</v>
      </c>
      <c r="D1360" t="s">
        <v>182</v>
      </c>
      <c r="E1360" t="s">
        <v>178</v>
      </c>
      <c r="F1360" t="s">
        <v>197</v>
      </c>
      <c r="G1360" t="s">
        <v>169</v>
      </c>
      <c r="H1360">
        <v>451</v>
      </c>
      <c r="I1360" s="34">
        <f>+POWER_Regional_Daily_20150101_20190305_c11b3312[[#This Row],[Column8]]/100</f>
        <v>4.51</v>
      </c>
      <c r="J1360" s="34"/>
    </row>
    <row r="1361" spans="1:10" x14ac:dyDescent="0.25">
      <c r="A1361" s="34" t="s">
        <v>164</v>
      </c>
      <c r="B1361" s="34" t="s">
        <v>165</v>
      </c>
      <c r="C1361" t="s">
        <v>269</v>
      </c>
      <c r="D1361" t="s">
        <v>182</v>
      </c>
      <c r="E1361" t="s">
        <v>180</v>
      </c>
      <c r="F1361" t="s">
        <v>218</v>
      </c>
      <c r="G1361" t="s">
        <v>169</v>
      </c>
      <c r="H1361">
        <v>603</v>
      </c>
      <c r="I1361" s="34">
        <f>+POWER_Regional_Daily_20150101_20190305_c11b3312[[#This Row],[Column8]]/100</f>
        <v>6.03</v>
      </c>
      <c r="J1361" s="34"/>
    </row>
    <row r="1362" spans="1:10" x14ac:dyDescent="0.25">
      <c r="A1362" s="34" t="s">
        <v>164</v>
      </c>
      <c r="B1362" s="34" t="s">
        <v>165</v>
      </c>
      <c r="C1362" t="s">
        <v>269</v>
      </c>
      <c r="D1362" t="s">
        <v>182</v>
      </c>
      <c r="E1362" t="s">
        <v>182</v>
      </c>
      <c r="F1362" t="s">
        <v>216</v>
      </c>
      <c r="G1362" t="s">
        <v>169</v>
      </c>
      <c r="H1362">
        <v>330</v>
      </c>
      <c r="I1362" s="34">
        <f>+POWER_Regional_Daily_20150101_20190305_c11b3312[[#This Row],[Column8]]/100</f>
        <v>3.3</v>
      </c>
      <c r="J1362" s="34"/>
    </row>
    <row r="1363" spans="1:10" x14ac:dyDescent="0.25">
      <c r="A1363" s="34" t="s">
        <v>164</v>
      </c>
      <c r="B1363" s="34" t="s">
        <v>165</v>
      </c>
      <c r="C1363" t="s">
        <v>269</v>
      </c>
      <c r="D1363" t="s">
        <v>182</v>
      </c>
      <c r="E1363" t="s">
        <v>184</v>
      </c>
      <c r="F1363" t="s">
        <v>222</v>
      </c>
      <c r="G1363" t="s">
        <v>169</v>
      </c>
      <c r="H1363">
        <v>560</v>
      </c>
      <c r="I1363" s="34">
        <f>+POWER_Regional_Daily_20150101_20190305_c11b3312[[#This Row],[Column8]]/100</f>
        <v>5.6</v>
      </c>
      <c r="J1363" s="34"/>
    </row>
    <row r="1364" spans="1:10" x14ac:dyDescent="0.25">
      <c r="A1364" s="34" t="s">
        <v>164</v>
      </c>
      <c r="B1364" s="34" t="s">
        <v>165</v>
      </c>
      <c r="C1364" t="s">
        <v>269</v>
      </c>
      <c r="D1364" t="s">
        <v>182</v>
      </c>
      <c r="E1364" t="s">
        <v>186</v>
      </c>
      <c r="F1364" t="s">
        <v>206</v>
      </c>
      <c r="G1364" t="s">
        <v>169</v>
      </c>
      <c r="H1364">
        <v>404</v>
      </c>
      <c r="I1364" s="34">
        <f>+POWER_Regional_Daily_20150101_20190305_c11b3312[[#This Row],[Column8]]/100</f>
        <v>4.04</v>
      </c>
      <c r="J1364" s="34"/>
    </row>
    <row r="1365" spans="1:10" x14ac:dyDescent="0.25">
      <c r="A1365" s="34" t="s">
        <v>164</v>
      </c>
      <c r="B1365" s="34" t="s">
        <v>165</v>
      </c>
      <c r="C1365" t="s">
        <v>269</v>
      </c>
      <c r="D1365" t="s">
        <v>182</v>
      </c>
      <c r="E1365" t="s">
        <v>188</v>
      </c>
      <c r="F1365" t="s">
        <v>197</v>
      </c>
      <c r="G1365" t="s">
        <v>169</v>
      </c>
      <c r="H1365">
        <v>459</v>
      </c>
      <c r="I1365" s="34">
        <f>+POWER_Regional_Daily_20150101_20190305_c11b3312[[#This Row],[Column8]]/100</f>
        <v>4.59</v>
      </c>
      <c r="J1365" s="34"/>
    </row>
    <row r="1366" spans="1:10" x14ac:dyDescent="0.25">
      <c r="A1366" s="34" t="s">
        <v>164</v>
      </c>
      <c r="B1366" s="34" t="s">
        <v>165</v>
      </c>
      <c r="C1366" t="s">
        <v>269</v>
      </c>
      <c r="D1366" t="s">
        <v>182</v>
      </c>
      <c r="E1366" t="s">
        <v>190</v>
      </c>
      <c r="F1366" t="s">
        <v>225</v>
      </c>
      <c r="G1366" t="s">
        <v>169</v>
      </c>
      <c r="H1366">
        <v>307</v>
      </c>
      <c r="I1366" s="34">
        <f>+POWER_Regional_Daily_20150101_20190305_c11b3312[[#This Row],[Column8]]/100</f>
        <v>3.07</v>
      </c>
      <c r="J1366" s="34"/>
    </row>
    <row r="1367" spans="1:10" x14ac:dyDescent="0.25">
      <c r="A1367" s="34" t="s">
        <v>164</v>
      </c>
      <c r="B1367" s="34" t="s">
        <v>165</v>
      </c>
      <c r="C1367" t="s">
        <v>269</v>
      </c>
      <c r="D1367" t="s">
        <v>182</v>
      </c>
      <c r="E1367" t="s">
        <v>192</v>
      </c>
      <c r="F1367" t="s">
        <v>197</v>
      </c>
      <c r="G1367" t="s">
        <v>169</v>
      </c>
      <c r="H1367">
        <v>453</v>
      </c>
      <c r="I1367" s="34">
        <f>+POWER_Regional_Daily_20150101_20190305_c11b3312[[#This Row],[Column8]]/100</f>
        <v>4.53</v>
      </c>
      <c r="J1367" s="34"/>
    </row>
    <row r="1368" spans="1:10" x14ac:dyDescent="0.25">
      <c r="A1368" s="34" t="s">
        <v>164</v>
      </c>
      <c r="B1368" s="34" t="s">
        <v>165</v>
      </c>
      <c r="C1368" t="s">
        <v>269</v>
      </c>
      <c r="D1368" t="s">
        <v>182</v>
      </c>
      <c r="E1368" t="s">
        <v>194</v>
      </c>
      <c r="F1368" t="s">
        <v>237</v>
      </c>
      <c r="G1368" t="s">
        <v>169</v>
      </c>
      <c r="H1368">
        <v>282</v>
      </c>
      <c r="I1368" s="34">
        <f>+POWER_Regional_Daily_20150101_20190305_c11b3312[[#This Row],[Column8]]/100</f>
        <v>2.82</v>
      </c>
      <c r="J1368" s="34"/>
    </row>
    <row r="1369" spans="1:10" x14ac:dyDescent="0.25">
      <c r="A1369" s="34" t="s">
        <v>164</v>
      </c>
      <c r="B1369" s="34" t="s">
        <v>165</v>
      </c>
      <c r="C1369" t="s">
        <v>269</v>
      </c>
      <c r="D1369" t="s">
        <v>182</v>
      </c>
      <c r="E1369" t="s">
        <v>196</v>
      </c>
      <c r="F1369" t="s">
        <v>187</v>
      </c>
      <c r="G1369" t="s">
        <v>169</v>
      </c>
      <c r="H1369">
        <v>-999</v>
      </c>
      <c r="I1369" s="34">
        <f>+POWER_Regional_Daily_20150101_20190305_c11b3312[[#This Row],[Column8]]/100</f>
        <v>-9.99</v>
      </c>
      <c r="J1369" s="34"/>
    </row>
    <row r="1370" spans="1:10" x14ac:dyDescent="0.25">
      <c r="A1370" s="34" t="s">
        <v>164</v>
      </c>
      <c r="B1370" s="34" t="s">
        <v>165</v>
      </c>
      <c r="C1370" t="s">
        <v>269</v>
      </c>
      <c r="D1370" t="s">
        <v>182</v>
      </c>
      <c r="E1370" t="s">
        <v>198</v>
      </c>
      <c r="F1370" t="s">
        <v>250</v>
      </c>
      <c r="G1370" t="s">
        <v>169</v>
      </c>
      <c r="H1370">
        <v>657</v>
      </c>
      <c r="I1370" s="34">
        <f>+POWER_Regional_Daily_20150101_20190305_c11b3312[[#This Row],[Column8]]/100</f>
        <v>6.57</v>
      </c>
      <c r="J1370" s="34"/>
    </row>
    <row r="1371" spans="1:10" x14ac:dyDescent="0.25">
      <c r="A1371" s="34" t="s">
        <v>164</v>
      </c>
      <c r="B1371" s="34" t="s">
        <v>165</v>
      </c>
      <c r="C1371" t="s">
        <v>269</v>
      </c>
      <c r="D1371" t="s">
        <v>182</v>
      </c>
      <c r="E1371" t="s">
        <v>199</v>
      </c>
      <c r="F1371" t="s">
        <v>168</v>
      </c>
      <c r="G1371" t="s">
        <v>169</v>
      </c>
      <c r="H1371">
        <v>643</v>
      </c>
      <c r="I1371" s="34">
        <f>+POWER_Regional_Daily_20150101_20190305_c11b3312[[#This Row],[Column8]]/100</f>
        <v>6.43</v>
      </c>
      <c r="J1371" s="34"/>
    </row>
    <row r="1372" spans="1:10" x14ac:dyDescent="0.25">
      <c r="A1372" s="34" t="s">
        <v>164</v>
      </c>
      <c r="B1372" s="34" t="s">
        <v>165</v>
      </c>
      <c r="C1372" t="s">
        <v>269</v>
      </c>
      <c r="D1372" t="s">
        <v>182</v>
      </c>
      <c r="E1372" t="s">
        <v>200</v>
      </c>
      <c r="F1372" t="s">
        <v>168</v>
      </c>
      <c r="G1372" t="s">
        <v>169</v>
      </c>
      <c r="H1372">
        <v>644</v>
      </c>
      <c r="I1372" s="34">
        <f>+POWER_Regional_Daily_20150101_20190305_c11b3312[[#This Row],[Column8]]/100</f>
        <v>6.44</v>
      </c>
      <c r="J1372" s="34"/>
    </row>
    <row r="1373" spans="1:10" x14ac:dyDescent="0.25">
      <c r="A1373" s="34" t="s">
        <v>164</v>
      </c>
      <c r="B1373" s="34" t="s">
        <v>165</v>
      </c>
      <c r="C1373" t="s">
        <v>269</v>
      </c>
      <c r="D1373" t="s">
        <v>182</v>
      </c>
      <c r="E1373" t="s">
        <v>202</v>
      </c>
      <c r="F1373" t="s">
        <v>232</v>
      </c>
      <c r="G1373" t="s">
        <v>169</v>
      </c>
      <c r="H1373">
        <v>616</v>
      </c>
      <c r="I1373" s="34">
        <f>+POWER_Regional_Daily_20150101_20190305_c11b3312[[#This Row],[Column8]]/100</f>
        <v>6.16</v>
      </c>
      <c r="J1373" s="34"/>
    </row>
    <row r="1374" spans="1:10" x14ac:dyDescent="0.25">
      <c r="A1374" s="34" t="s">
        <v>164</v>
      </c>
      <c r="B1374" s="34" t="s">
        <v>165</v>
      </c>
      <c r="C1374" t="s">
        <v>269</v>
      </c>
      <c r="D1374" t="s">
        <v>182</v>
      </c>
      <c r="E1374" t="s">
        <v>203</v>
      </c>
      <c r="F1374" t="s">
        <v>238</v>
      </c>
      <c r="G1374" t="s">
        <v>169</v>
      </c>
      <c r="H1374">
        <v>646</v>
      </c>
      <c r="I1374" s="34">
        <f>+POWER_Regional_Daily_20150101_20190305_c11b3312[[#This Row],[Column8]]/100</f>
        <v>6.46</v>
      </c>
      <c r="J1374" s="34"/>
    </row>
    <row r="1375" spans="1:10" x14ac:dyDescent="0.25">
      <c r="A1375" s="34" t="s">
        <v>164</v>
      </c>
      <c r="B1375" s="34" t="s">
        <v>165</v>
      </c>
      <c r="C1375" t="s">
        <v>269</v>
      </c>
      <c r="D1375" t="s">
        <v>182</v>
      </c>
      <c r="E1375" t="s">
        <v>205</v>
      </c>
      <c r="F1375" t="s">
        <v>231</v>
      </c>
      <c r="G1375" t="s">
        <v>169</v>
      </c>
      <c r="H1375">
        <v>499</v>
      </c>
      <c r="I1375" s="34">
        <f>+POWER_Regional_Daily_20150101_20190305_c11b3312[[#This Row],[Column8]]/100</f>
        <v>4.99</v>
      </c>
      <c r="J1375" s="34"/>
    </row>
    <row r="1376" spans="1:10" x14ac:dyDescent="0.25">
      <c r="A1376" s="34" t="s">
        <v>164</v>
      </c>
      <c r="B1376" s="34" t="s">
        <v>165</v>
      </c>
      <c r="C1376" t="s">
        <v>269</v>
      </c>
      <c r="D1376" t="s">
        <v>182</v>
      </c>
      <c r="E1376" t="s">
        <v>207</v>
      </c>
      <c r="F1376" t="s">
        <v>222</v>
      </c>
      <c r="G1376" t="s">
        <v>169</v>
      </c>
      <c r="H1376">
        <v>553</v>
      </c>
      <c r="I1376" s="34">
        <f>+POWER_Regional_Daily_20150101_20190305_c11b3312[[#This Row],[Column8]]/100</f>
        <v>5.53</v>
      </c>
      <c r="J1376" s="34"/>
    </row>
    <row r="1377" spans="1:10" x14ac:dyDescent="0.25">
      <c r="A1377" s="34" t="s">
        <v>164</v>
      </c>
      <c r="B1377" s="34" t="s">
        <v>165</v>
      </c>
      <c r="C1377" t="s">
        <v>269</v>
      </c>
      <c r="D1377" t="s">
        <v>182</v>
      </c>
      <c r="E1377" t="s">
        <v>208</v>
      </c>
      <c r="F1377" t="s">
        <v>235</v>
      </c>
      <c r="G1377" t="s">
        <v>169</v>
      </c>
      <c r="H1377">
        <v>514</v>
      </c>
      <c r="I1377" s="34">
        <f>+POWER_Regional_Daily_20150101_20190305_c11b3312[[#This Row],[Column8]]/100</f>
        <v>5.14</v>
      </c>
      <c r="J1377" s="34"/>
    </row>
    <row r="1378" spans="1:10" x14ac:dyDescent="0.25">
      <c r="A1378" s="34" t="s">
        <v>164</v>
      </c>
      <c r="B1378" s="34" t="s">
        <v>165</v>
      </c>
      <c r="C1378" t="s">
        <v>269</v>
      </c>
      <c r="D1378" t="s">
        <v>182</v>
      </c>
      <c r="E1378" t="s">
        <v>210</v>
      </c>
      <c r="F1378" t="s">
        <v>227</v>
      </c>
      <c r="G1378" t="s">
        <v>169</v>
      </c>
      <c r="H1378">
        <v>335</v>
      </c>
      <c r="I1378" s="34">
        <f>+POWER_Regional_Daily_20150101_20190305_c11b3312[[#This Row],[Column8]]/100</f>
        <v>3.35</v>
      </c>
      <c r="J1378" s="34"/>
    </row>
    <row r="1379" spans="1:10" x14ac:dyDescent="0.25">
      <c r="A1379" s="34" t="s">
        <v>164</v>
      </c>
      <c r="B1379" s="34" t="s">
        <v>165</v>
      </c>
      <c r="C1379" t="s">
        <v>269</v>
      </c>
      <c r="D1379" t="s">
        <v>182</v>
      </c>
      <c r="E1379" t="s">
        <v>212</v>
      </c>
      <c r="F1379" t="s">
        <v>231</v>
      </c>
      <c r="G1379" t="s">
        <v>169</v>
      </c>
      <c r="H1379">
        <v>497</v>
      </c>
      <c r="I1379" s="34">
        <f>+POWER_Regional_Daily_20150101_20190305_c11b3312[[#This Row],[Column8]]/100</f>
        <v>4.97</v>
      </c>
      <c r="J1379" s="34"/>
    </row>
    <row r="1380" spans="1:10" x14ac:dyDescent="0.25">
      <c r="A1380" s="34" t="s">
        <v>164</v>
      </c>
      <c r="B1380" s="34" t="s">
        <v>165</v>
      </c>
      <c r="C1380" t="s">
        <v>269</v>
      </c>
      <c r="D1380" t="s">
        <v>182</v>
      </c>
      <c r="E1380" t="s">
        <v>214</v>
      </c>
      <c r="F1380" t="s">
        <v>239</v>
      </c>
      <c r="G1380" t="s">
        <v>169</v>
      </c>
      <c r="H1380">
        <v>370</v>
      </c>
      <c r="I1380" s="34">
        <f>+POWER_Regional_Daily_20150101_20190305_c11b3312[[#This Row],[Column8]]/100</f>
        <v>3.7</v>
      </c>
      <c r="J1380" s="34"/>
    </row>
    <row r="1381" spans="1:10" x14ac:dyDescent="0.25">
      <c r="A1381" s="34" t="s">
        <v>164</v>
      </c>
      <c r="B1381" s="34" t="s">
        <v>165</v>
      </c>
      <c r="C1381" t="s">
        <v>269</v>
      </c>
      <c r="D1381" t="s">
        <v>182</v>
      </c>
      <c r="E1381" t="s">
        <v>215</v>
      </c>
      <c r="F1381" t="s">
        <v>223</v>
      </c>
      <c r="G1381" t="s">
        <v>169</v>
      </c>
      <c r="H1381">
        <v>502</v>
      </c>
      <c r="I1381" s="34">
        <f>+POWER_Regional_Daily_20150101_20190305_c11b3312[[#This Row],[Column8]]/100</f>
        <v>5.0199999999999996</v>
      </c>
      <c r="J1381" s="34"/>
    </row>
    <row r="1382" spans="1:10" x14ac:dyDescent="0.25">
      <c r="A1382" s="34" t="s">
        <v>164</v>
      </c>
      <c r="B1382" s="34" t="s">
        <v>165</v>
      </c>
      <c r="C1382" t="s">
        <v>269</v>
      </c>
      <c r="D1382" t="s">
        <v>182</v>
      </c>
      <c r="E1382" t="s">
        <v>217</v>
      </c>
      <c r="F1382" t="s">
        <v>211</v>
      </c>
      <c r="G1382" t="s">
        <v>169</v>
      </c>
      <c r="H1382">
        <v>430</v>
      </c>
      <c r="I1382" s="34">
        <f>+POWER_Regional_Daily_20150101_20190305_c11b3312[[#This Row],[Column8]]/100</f>
        <v>4.3</v>
      </c>
      <c r="J1382" s="34"/>
    </row>
    <row r="1383" spans="1:10" x14ac:dyDescent="0.25">
      <c r="A1383" s="34" t="s">
        <v>164</v>
      </c>
      <c r="B1383" s="34" t="s">
        <v>165</v>
      </c>
      <c r="C1383" t="s">
        <v>269</v>
      </c>
      <c r="D1383" t="s">
        <v>182</v>
      </c>
      <c r="E1383" t="s">
        <v>219</v>
      </c>
      <c r="F1383" t="s">
        <v>204</v>
      </c>
      <c r="G1383" t="s">
        <v>169</v>
      </c>
      <c r="H1383">
        <v>439</v>
      </c>
      <c r="I1383" s="34">
        <f>+POWER_Regional_Daily_20150101_20190305_c11b3312[[#This Row],[Column8]]/100</f>
        <v>4.3899999999999997</v>
      </c>
      <c r="J1383" s="34"/>
    </row>
    <row r="1384" spans="1:10" x14ac:dyDescent="0.25">
      <c r="A1384" s="34" t="s">
        <v>164</v>
      </c>
      <c r="B1384" s="34" t="s">
        <v>165</v>
      </c>
      <c r="C1384" t="s">
        <v>269</v>
      </c>
      <c r="D1384" t="s">
        <v>184</v>
      </c>
      <c r="E1384" t="s">
        <v>167</v>
      </c>
      <c r="F1384" t="s">
        <v>235</v>
      </c>
      <c r="G1384" t="s">
        <v>169</v>
      </c>
      <c r="H1384">
        <v>513</v>
      </c>
      <c r="I1384" s="34">
        <f>+POWER_Regional_Daily_20150101_20190305_c11b3312[[#This Row],[Column8]]/100</f>
        <v>5.13</v>
      </c>
      <c r="J1384" s="34"/>
    </row>
    <row r="1385" spans="1:10" x14ac:dyDescent="0.25">
      <c r="A1385" s="34" t="s">
        <v>164</v>
      </c>
      <c r="B1385" s="34" t="s">
        <v>165</v>
      </c>
      <c r="C1385" t="s">
        <v>269</v>
      </c>
      <c r="D1385" t="s">
        <v>184</v>
      </c>
      <c r="E1385" t="s">
        <v>170</v>
      </c>
      <c r="F1385" t="s">
        <v>187</v>
      </c>
      <c r="G1385" t="s">
        <v>169</v>
      </c>
      <c r="H1385">
        <v>-999</v>
      </c>
      <c r="I1385" s="34">
        <f>+POWER_Regional_Daily_20150101_20190305_c11b3312[[#This Row],[Column8]]/100</f>
        <v>-9.99</v>
      </c>
      <c r="J1385" s="34"/>
    </row>
    <row r="1386" spans="1:10" x14ac:dyDescent="0.25">
      <c r="A1386" s="34" t="s">
        <v>164</v>
      </c>
      <c r="B1386" s="34" t="s">
        <v>165</v>
      </c>
      <c r="C1386" t="s">
        <v>269</v>
      </c>
      <c r="D1386" t="s">
        <v>184</v>
      </c>
      <c r="E1386" t="s">
        <v>172</v>
      </c>
      <c r="F1386" t="s">
        <v>216</v>
      </c>
      <c r="G1386" t="s">
        <v>169</v>
      </c>
      <c r="H1386">
        <v>327</v>
      </c>
      <c r="I1386" s="34">
        <f>+POWER_Regional_Daily_20150101_20190305_c11b3312[[#This Row],[Column8]]/100</f>
        <v>3.27</v>
      </c>
      <c r="J1386" s="34"/>
    </row>
    <row r="1387" spans="1:10" x14ac:dyDescent="0.25">
      <c r="A1387" s="34" t="s">
        <v>164</v>
      </c>
      <c r="B1387" s="34" t="s">
        <v>165</v>
      </c>
      <c r="C1387" t="s">
        <v>269</v>
      </c>
      <c r="D1387" t="s">
        <v>184</v>
      </c>
      <c r="E1387" t="s">
        <v>174</v>
      </c>
      <c r="F1387" t="s">
        <v>181</v>
      </c>
      <c r="G1387" t="s">
        <v>169</v>
      </c>
      <c r="H1387">
        <v>576</v>
      </c>
      <c r="I1387" s="34">
        <f>+POWER_Regional_Daily_20150101_20190305_c11b3312[[#This Row],[Column8]]/100</f>
        <v>5.76</v>
      </c>
      <c r="J1387" s="34"/>
    </row>
    <row r="1388" spans="1:10" x14ac:dyDescent="0.25">
      <c r="A1388" s="34" t="s">
        <v>164</v>
      </c>
      <c r="B1388" s="34" t="s">
        <v>165</v>
      </c>
      <c r="C1388" t="s">
        <v>269</v>
      </c>
      <c r="D1388" t="s">
        <v>184</v>
      </c>
      <c r="E1388" t="s">
        <v>175</v>
      </c>
      <c r="F1388" t="s">
        <v>231</v>
      </c>
      <c r="G1388" t="s">
        <v>169</v>
      </c>
      <c r="H1388">
        <v>494</v>
      </c>
      <c r="I1388" s="34">
        <f>+POWER_Regional_Daily_20150101_20190305_c11b3312[[#This Row],[Column8]]/100</f>
        <v>4.9400000000000004</v>
      </c>
      <c r="J1388" s="34"/>
    </row>
    <row r="1389" spans="1:10" x14ac:dyDescent="0.25">
      <c r="A1389" s="34" t="s">
        <v>164</v>
      </c>
      <c r="B1389" s="34" t="s">
        <v>165</v>
      </c>
      <c r="C1389" t="s">
        <v>269</v>
      </c>
      <c r="D1389" t="s">
        <v>184</v>
      </c>
      <c r="E1389" t="s">
        <v>177</v>
      </c>
      <c r="F1389" t="s">
        <v>193</v>
      </c>
      <c r="G1389" t="s">
        <v>169</v>
      </c>
      <c r="H1389">
        <v>412</v>
      </c>
      <c r="I1389" s="34">
        <f>+POWER_Regional_Daily_20150101_20190305_c11b3312[[#This Row],[Column8]]/100</f>
        <v>4.12</v>
      </c>
      <c r="J1389" s="34"/>
    </row>
    <row r="1390" spans="1:10" x14ac:dyDescent="0.25">
      <c r="A1390" s="34" t="s">
        <v>164</v>
      </c>
      <c r="B1390" s="34" t="s">
        <v>165</v>
      </c>
      <c r="C1390" t="s">
        <v>269</v>
      </c>
      <c r="D1390" t="s">
        <v>184</v>
      </c>
      <c r="E1390" t="s">
        <v>178</v>
      </c>
      <c r="F1390" t="s">
        <v>222</v>
      </c>
      <c r="G1390" t="s">
        <v>169</v>
      </c>
      <c r="H1390">
        <v>552</v>
      </c>
      <c r="I1390" s="34">
        <f>+POWER_Regional_Daily_20150101_20190305_c11b3312[[#This Row],[Column8]]/100</f>
        <v>5.52</v>
      </c>
      <c r="J1390" s="34"/>
    </row>
    <row r="1391" spans="1:10" x14ac:dyDescent="0.25">
      <c r="A1391" s="34" t="s">
        <v>164</v>
      </c>
      <c r="B1391" s="34" t="s">
        <v>165</v>
      </c>
      <c r="C1391" t="s">
        <v>269</v>
      </c>
      <c r="D1391" t="s">
        <v>184</v>
      </c>
      <c r="E1391" t="s">
        <v>180</v>
      </c>
      <c r="F1391" t="s">
        <v>211</v>
      </c>
      <c r="G1391" t="s">
        <v>169</v>
      </c>
      <c r="H1391">
        <v>428</v>
      </c>
      <c r="I1391" s="34">
        <f>+POWER_Regional_Daily_20150101_20190305_c11b3312[[#This Row],[Column8]]/100</f>
        <v>4.28</v>
      </c>
      <c r="J1391" s="34"/>
    </row>
    <row r="1392" spans="1:10" x14ac:dyDescent="0.25">
      <c r="A1392" s="34" t="s">
        <v>164</v>
      </c>
      <c r="B1392" s="34" t="s">
        <v>165</v>
      </c>
      <c r="C1392" t="s">
        <v>269</v>
      </c>
      <c r="D1392" t="s">
        <v>184</v>
      </c>
      <c r="E1392" t="s">
        <v>182</v>
      </c>
      <c r="F1392" t="s">
        <v>191</v>
      </c>
      <c r="G1392" t="s">
        <v>169</v>
      </c>
      <c r="H1392">
        <v>348</v>
      </c>
      <c r="I1392" s="34">
        <f>+POWER_Regional_Daily_20150101_20190305_c11b3312[[#This Row],[Column8]]/100</f>
        <v>3.48</v>
      </c>
      <c r="J1392" s="34"/>
    </row>
    <row r="1393" spans="1:10" x14ac:dyDescent="0.25">
      <c r="A1393" s="34" t="s">
        <v>164</v>
      </c>
      <c r="B1393" s="34" t="s">
        <v>165</v>
      </c>
      <c r="C1393" t="s">
        <v>269</v>
      </c>
      <c r="D1393" t="s">
        <v>184</v>
      </c>
      <c r="E1393" t="s">
        <v>184</v>
      </c>
      <c r="F1393" t="s">
        <v>246</v>
      </c>
      <c r="G1393" t="s">
        <v>169</v>
      </c>
      <c r="H1393">
        <v>381</v>
      </c>
      <c r="I1393" s="34">
        <f>+POWER_Regional_Daily_20150101_20190305_c11b3312[[#This Row],[Column8]]/100</f>
        <v>3.81</v>
      </c>
      <c r="J1393" s="34"/>
    </row>
    <row r="1394" spans="1:10" x14ac:dyDescent="0.25">
      <c r="A1394" s="34" t="s">
        <v>164</v>
      </c>
      <c r="B1394" s="34" t="s">
        <v>165</v>
      </c>
      <c r="C1394" t="s">
        <v>269</v>
      </c>
      <c r="D1394" t="s">
        <v>184</v>
      </c>
      <c r="E1394" t="s">
        <v>186</v>
      </c>
      <c r="F1394" t="s">
        <v>213</v>
      </c>
      <c r="G1394" t="s">
        <v>169</v>
      </c>
      <c r="H1394">
        <v>557</v>
      </c>
      <c r="I1394" s="34">
        <f>+POWER_Regional_Daily_20150101_20190305_c11b3312[[#This Row],[Column8]]/100</f>
        <v>5.57</v>
      </c>
      <c r="J1394" s="34"/>
    </row>
    <row r="1395" spans="1:10" x14ac:dyDescent="0.25">
      <c r="A1395" s="34" t="s">
        <v>164</v>
      </c>
      <c r="B1395" s="34" t="s">
        <v>165</v>
      </c>
      <c r="C1395" t="s">
        <v>269</v>
      </c>
      <c r="D1395" t="s">
        <v>184</v>
      </c>
      <c r="E1395" t="s">
        <v>188</v>
      </c>
      <c r="F1395" t="s">
        <v>230</v>
      </c>
      <c r="G1395" t="s">
        <v>169</v>
      </c>
      <c r="H1395">
        <v>374</v>
      </c>
      <c r="I1395" s="34">
        <f>+POWER_Regional_Daily_20150101_20190305_c11b3312[[#This Row],[Column8]]/100</f>
        <v>3.74</v>
      </c>
      <c r="J1395" s="34"/>
    </row>
    <row r="1396" spans="1:10" x14ac:dyDescent="0.25">
      <c r="A1396" s="34" t="s">
        <v>164</v>
      </c>
      <c r="B1396" s="34" t="s">
        <v>165</v>
      </c>
      <c r="C1396" t="s">
        <v>269</v>
      </c>
      <c r="D1396" t="s">
        <v>184</v>
      </c>
      <c r="E1396" t="s">
        <v>190</v>
      </c>
      <c r="F1396" t="s">
        <v>213</v>
      </c>
      <c r="G1396" t="s">
        <v>169</v>
      </c>
      <c r="H1396">
        <v>558</v>
      </c>
      <c r="I1396" s="34">
        <f>+POWER_Regional_Daily_20150101_20190305_c11b3312[[#This Row],[Column8]]/100</f>
        <v>5.58</v>
      </c>
      <c r="J1396" s="34"/>
    </row>
    <row r="1397" spans="1:10" x14ac:dyDescent="0.25">
      <c r="A1397" s="34" t="s">
        <v>164</v>
      </c>
      <c r="B1397" s="34" t="s">
        <v>165</v>
      </c>
      <c r="C1397" t="s">
        <v>269</v>
      </c>
      <c r="D1397" t="s">
        <v>184</v>
      </c>
      <c r="E1397" t="s">
        <v>192</v>
      </c>
      <c r="F1397" t="s">
        <v>218</v>
      </c>
      <c r="G1397" t="s">
        <v>169</v>
      </c>
      <c r="H1397">
        <v>586</v>
      </c>
      <c r="I1397" s="34">
        <f>+POWER_Regional_Daily_20150101_20190305_c11b3312[[#This Row],[Column8]]/100</f>
        <v>5.86</v>
      </c>
      <c r="J1397" s="34"/>
    </row>
    <row r="1398" spans="1:10" x14ac:dyDescent="0.25">
      <c r="A1398" s="34" t="s">
        <v>164</v>
      </c>
      <c r="B1398" s="34" t="s">
        <v>165</v>
      </c>
      <c r="C1398" t="s">
        <v>269</v>
      </c>
      <c r="D1398" t="s">
        <v>184</v>
      </c>
      <c r="E1398" t="s">
        <v>194</v>
      </c>
      <c r="F1398" t="s">
        <v>201</v>
      </c>
      <c r="G1398" t="s">
        <v>169</v>
      </c>
      <c r="H1398">
        <v>535</v>
      </c>
      <c r="I1398" s="34">
        <f>+POWER_Regional_Daily_20150101_20190305_c11b3312[[#This Row],[Column8]]/100</f>
        <v>5.35</v>
      </c>
      <c r="J1398" s="34"/>
    </row>
    <row r="1399" spans="1:10" x14ac:dyDescent="0.25">
      <c r="A1399" s="34" t="s">
        <v>164</v>
      </c>
      <c r="B1399" s="34" t="s">
        <v>165</v>
      </c>
      <c r="C1399" t="s">
        <v>269</v>
      </c>
      <c r="D1399" t="s">
        <v>184</v>
      </c>
      <c r="E1399" t="s">
        <v>196</v>
      </c>
      <c r="F1399" t="s">
        <v>206</v>
      </c>
      <c r="G1399" t="s">
        <v>169</v>
      </c>
      <c r="H1399">
        <v>394</v>
      </c>
      <c r="I1399" s="34">
        <f>+POWER_Regional_Daily_20150101_20190305_c11b3312[[#This Row],[Column8]]/100</f>
        <v>3.94</v>
      </c>
      <c r="J1399" s="34"/>
    </row>
    <row r="1400" spans="1:10" x14ac:dyDescent="0.25">
      <c r="A1400" s="34" t="s">
        <v>164</v>
      </c>
      <c r="B1400" s="34" t="s">
        <v>165</v>
      </c>
      <c r="C1400" t="s">
        <v>269</v>
      </c>
      <c r="D1400" t="s">
        <v>184</v>
      </c>
      <c r="E1400" t="s">
        <v>198</v>
      </c>
      <c r="F1400" t="s">
        <v>221</v>
      </c>
      <c r="G1400" t="s">
        <v>169</v>
      </c>
      <c r="H1400">
        <v>413</v>
      </c>
      <c r="I1400" s="34">
        <f>+POWER_Regional_Daily_20150101_20190305_c11b3312[[#This Row],[Column8]]/100</f>
        <v>4.13</v>
      </c>
      <c r="J1400" s="34"/>
    </row>
    <row r="1401" spans="1:10" x14ac:dyDescent="0.25">
      <c r="A1401" s="34" t="s">
        <v>164</v>
      </c>
      <c r="B1401" s="34" t="s">
        <v>165</v>
      </c>
      <c r="C1401" t="s">
        <v>269</v>
      </c>
      <c r="D1401" t="s">
        <v>184</v>
      </c>
      <c r="E1401" t="s">
        <v>199</v>
      </c>
      <c r="F1401" t="s">
        <v>187</v>
      </c>
      <c r="G1401" t="s">
        <v>169</v>
      </c>
      <c r="H1401">
        <v>-999</v>
      </c>
      <c r="I1401" s="34">
        <f>+POWER_Regional_Daily_20150101_20190305_c11b3312[[#This Row],[Column8]]/100</f>
        <v>-9.99</v>
      </c>
      <c r="J1401" s="34"/>
    </row>
    <row r="1402" spans="1:10" x14ac:dyDescent="0.25">
      <c r="A1402" s="34" t="s">
        <v>164</v>
      </c>
      <c r="B1402" s="34" t="s">
        <v>165</v>
      </c>
      <c r="C1402" t="s">
        <v>269</v>
      </c>
      <c r="D1402" t="s">
        <v>184</v>
      </c>
      <c r="E1402" t="s">
        <v>200</v>
      </c>
      <c r="F1402" t="s">
        <v>231</v>
      </c>
      <c r="G1402" t="s">
        <v>169</v>
      </c>
      <c r="H1402">
        <v>480</v>
      </c>
      <c r="I1402" s="34">
        <f>+POWER_Regional_Daily_20150101_20190305_c11b3312[[#This Row],[Column8]]/100</f>
        <v>4.8</v>
      </c>
      <c r="J1402" s="34"/>
    </row>
    <row r="1403" spans="1:10" x14ac:dyDescent="0.25">
      <c r="A1403" s="34" t="s">
        <v>164</v>
      </c>
      <c r="B1403" s="34" t="s">
        <v>165</v>
      </c>
      <c r="C1403" t="s">
        <v>269</v>
      </c>
      <c r="D1403" t="s">
        <v>184</v>
      </c>
      <c r="E1403" t="s">
        <v>202</v>
      </c>
      <c r="F1403" t="s">
        <v>223</v>
      </c>
      <c r="G1403" t="s">
        <v>169</v>
      </c>
      <c r="H1403">
        <v>491</v>
      </c>
      <c r="I1403" s="34">
        <f>+POWER_Regional_Daily_20150101_20190305_c11b3312[[#This Row],[Column8]]/100</f>
        <v>4.91</v>
      </c>
      <c r="J1403" s="34"/>
    </row>
    <row r="1404" spans="1:10" x14ac:dyDescent="0.25">
      <c r="A1404" s="34" t="s">
        <v>164</v>
      </c>
      <c r="B1404" s="34" t="s">
        <v>165</v>
      </c>
      <c r="C1404" t="s">
        <v>269</v>
      </c>
      <c r="D1404" t="s">
        <v>184</v>
      </c>
      <c r="E1404" t="s">
        <v>203</v>
      </c>
      <c r="F1404" t="s">
        <v>229</v>
      </c>
      <c r="G1404" t="s">
        <v>169</v>
      </c>
      <c r="H1404">
        <v>348</v>
      </c>
      <c r="I1404" s="34">
        <f>+POWER_Regional_Daily_20150101_20190305_c11b3312[[#This Row],[Column8]]/100</f>
        <v>3.48</v>
      </c>
      <c r="J1404" s="34"/>
    </row>
    <row r="1405" spans="1:10" x14ac:dyDescent="0.25">
      <c r="A1405" s="34" t="s">
        <v>164</v>
      </c>
      <c r="B1405" s="34" t="s">
        <v>165</v>
      </c>
      <c r="C1405" t="s">
        <v>269</v>
      </c>
      <c r="D1405" t="s">
        <v>184</v>
      </c>
      <c r="E1405" t="s">
        <v>205</v>
      </c>
      <c r="F1405" t="s">
        <v>193</v>
      </c>
      <c r="G1405" t="s">
        <v>169</v>
      </c>
      <c r="H1405">
        <v>398</v>
      </c>
      <c r="I1405" s="34">
        <f>+POWER_Regional_Daily_20150101_20190305_c11b3312[[#This Row],[Column8]]/100</f>
        <v>3.98</v>
      </c>
      <c r="J1405" s="34"/>
    </row>
    <row r="1406" spans="1:10" x14ac:dyDescent="0.25">
      <c r="A1406" s="34" t="s">
        <v>164</v>
      </c>
      <c r="B1406" s="34" t="s">
        <v>165</v>
      </c>
      <c r="C1406" t="s">
        <v>269</v>
      </c>
      <c r="D1406" t="s">
        <v>184</v>
      </c>
      <c r="E1406" t="s">
        <v>207</v>
      </c>
      <c r="F1406" t="s">
        <v>235</v>
      </c>
      <c r="G1406" t="s">
        <v>169</v>
      </c>
      <c r="H1406">
        <v>502</v>
      </c>
      <c r="I1406" s="34">
        <f>+POWER_Regional_Daily_20150101_20190305_c11b3312[[#This Row],[Column8]]/100</f>
        <v>5.0199999999999996</v>
      </c>
      <c r="J1406" s="34"/>
    </row>
    <row r="1407" spans="1:10" x14ac:dyDescent="0.25">
      <c r="A1407" s="34" t="s">
        <v>164</v>
      </c>
      <c r="B1407" s="34" t="s">
        <v>165</v>
      </c>
      <c r="C1407" t="s">
        <v>269</v>
      </c>
      <c r="D1407" t="s">
        <v>184</v>
      </c>
      <c r="E1407" t="s">
        <v>208</v>
      </c>
      <c r="F1407" t="s">
        <v>197</v>
      </c>
      <c r="G1407" t="s">
        <v>169</v>
      </c>
      <c r="H1407">
        <v>434</v>
      </c>
      <c r="I1407" s="34">
        <f>+POWER_Regional_Daily_20150101_20190305_c11b3312[[#This Row],[Column8]]/100</f>
        <v>4.34</v>
      </c>
      <c r="J1407" s="34"/>
    </row>
    <row r="1408" spans="1:10" x14ac:dyDescent="0.25">
      <c r="A1408" s="34" t="s">
        <v>164</v>
      </c>
      <c r="B1408" s="34" t="s">
        <v>165</v>
      </c>
      <c r="C1408" t="s">
        <v>269</v>
      </c>
      <c r="D1408" t="s">
        <v>184</v>
      </c>
      <c r="E1408" t="s">
        <v>210</v>
      </c>
      <c r="F1408" t="s">
        <v>235</v>
      </c>
      <c r="G1408" t="s">
        <v>169</v>
      </c>
      <c r="H1408">
        <v>496</v>
      </c>
      <c r="I1408" s="34">
        <f>+POWER_Regional_Daily_20150101_20190305_c11b3312[[#This Row],[Column8]]/100</f>
        <v>4.96</v>
      </c>
      <c r="J1408" s="34"/>
    </row>
    <row r="1409" spans="1:10" x14ac:dyDescent="0.25">
      <c r="A1409" s="34" t="s">
        <v>164</v>
      </c>
      <c r="B1409" s="34" t="s">
        <v>165</v>
      </c>
      <c r="C1409" t="s">
        <v>269</v>
      </c>
      <c r="D1409" t="s">
        <v>184</v>
      </c>
      <c r="E1409" t="s">
        <v>212</v>
      </c>
      <c r="F1409" t="s">
        <v>193</v>
      </c>
      <c r="G1409" t="s">
        <v>169</v>
      </c>
      <c r="H1409">
        <v>399</v>
      </c>
      <c r="I1409" s="34">
        <f>+POWER_Regional_Daily_20150101_20190305_c11b3312[[#This Row],[Column8]]/100</f>
        <v>3.99</v>
      </c>
      <c r="J1409" s="34"/>
    </row>
    <row r="1410" spans="1:10" x14ac:dyDescent="0.25">
      <c r="A1410" s="34" t="s">
        <v>164</v>
      </c>
      <c r="B1410" s="34" t="s">
        <v>165</v>
      </c>
      <c r="C1410" t="s">
        <v>269</v>
      </c>
      <c r="D1410" t="s">
        <v>184</v>
      </c>
      <c r="E1410" t="s">
        <v>214</v>
      </c>
      <c r="F1410" t="s">
        <v>206</v>
      </c>
      <c r="G1410" t="s">
        <v>169</v>
      </c>
      <c r="H1410">
        <v>386</v>
      </c>
      <c r="I1410" s="34">
        <f>+POWER_Regional_Daily_20150101_20190305_c11b3312[[#This Row],[Column8]]/100</f>
        <v>3.86</v>
      </c>
      <c r="J1410" s="34"/>
    </row>
    <row r="1411" spans="1:10" x14ac:dyDescent="0.25">
      <c r="A1411" s="34" t="s">
        <v>164</v>
      </c>
      <c r="B1411" s="34" t="s">
        <v>165</v>
      </c>
      <c r="C1411" t="s">
        <v>269</v>
      </c>
      <c r="D1411" t="s">
        <v>184</v>
      </c>
      <c r="E1411" t="s">
        <v>215</v>
      </c>
      <c r="F1411" t="s">
        <v>235</v>
      </c>
      <c r="G1411" t="s">
        <v>169</v>
      </c>
      <c r="H1411">
        <v>498</v>
      </c>
      <c r="I1411" s="34">
        <f>+POWER_Regional_Daily_20150101_20190305_c11b3312[[#This Row],[Column8]]/100</f>
        <v>4.9800000000000004</v>
      </c>
      <c r="J1411" s="34"/>
    </row>
    <row r="1412" spans="1:10" x14ac:dyDescent="0.25">
      <c r="A1412" s="34" t="s">
        <v>164</v>
      </c>
      <c r="B1412" s="34" t="s">
        <v>165</v>
      </c>
      <c r="C1412" t="s">
        <v>269</v>
      </c>
      <c r="D1412" t="s">
        <v>184</v>
      </c>
      <c r="E1412" t="s">
        <v>217</v>
      </c>
      <c r="F1412" t="s">
        <v>224</v>
      </c>
      <c r="G1412" t="s">
        <v>169</v>
      </c>
      <c r="H1412">
        <v>442</v>
      </c>
      <c r="I1412" s="34">
        <f>+POWER_Regional_Daily_20150101_20190305_c11b3312[[#This Row],[Column8]]/100</f>
        <v>4.42</v>
      </c>
      <c r="J1412" s="34"/>
    </row>
    <row r="1413" spans="1:10" x14ac:dyDescent="0.25">
      <c r="A1413" s="34" t="s">
        <v>164</v>
      </c>
      <c r="B1413" s="34" t="s">
        <v>165</v>
      </c>
      <c r="C1413" t="s">
        <v>269</v>
      </c>
      <c r="D1413" t="s">
        <v>184</v>
      </c>
      <c r="E1413" t="s">
        <v>219</v>
      </c>
      <c r="F1413" t="s">
        <v>204</v>
      </c>
      <c r="G1413" t="s">
        <v>169</v>
      </c>
      <c r="H1413">
        <v>424</v>
      </c>
      <c r="I1413" s="34">
        <f>+POWER_Regional_Daily_20150101_20190305_c11b3312[[#This Row],[Column8]]/100</f>
        <v>4.24</v>
      </c>
      <c r="J1413" s="34"/>
    </row>
    <row r="1414" spans="1:10" x14ac:dyDescent="0.25">
      <c r="A1414" s="34" t="s">
        <v>164</v>
      </c>
      <c r="B1414" s="34" t="s">
        <v>165</v>
      </c>
      <c r="C1414" t="s">
        <v>269</v>
      </c>
      <c r="D1414" t="s">
        <v>184</v>
      </c>
      <c r="E1414" t="s">
        <v>220</v>
      </c>
      <c r="F1414" t="s">
        <v>236</v>
      </c>
      <c r="G1414" t="s">
        <v>169</v>
      </c>
      <c r="H1414">
        <v>507</v>
      </c>
      <c r="I1414" s="34">
        <f>+POWER_Regional_Daily_20150101_20190305_c11b3312[[#This Row],[Column8]]/100</f>
        <v>5.07</v>
      </c>
      <c r="J1414" s="34"/>
    </row>
    <row r="1415" spans="1:10" x14ac:dyDescent="0.25">
      <c r="A1415" s="34" t="s">
        <v>164</v>
      </c>
      <c r="B1415" s="34" t="s">
        <v>165</v>
      </c>
      <c r="C1415" t="s">
        <v>269</v>
      </c>
      <c r="D1415" t="s">
        <v>186</v>
      </c>
      <c r="E1415" t="s">
        <v>167</v>
      </c>
      <c r="F1415" t="s">
        <v>231</v>
      </c>
      <c r="G1415" t="s">
        <v>169</v>
      </c>
      <c r="H1415">
        <v>472</v>
      </c>
      <c r="I1415" s="34">
        <f>+POWER_Regional_Daily_20150101_20190305_c11b3312[[#This Row],[Column8]]/100</f>
        <v>4.72</v>
      </c>
      <c r="J1415" s="34"/>
    </row>
    <row r="1416" spans="1:10" x14ac:dyDescent="0.25">
      <c r="A1416" s="34" t="s">
        <v>164</v>
      </c>
      <c r="B1416" s="34" t="s">
        <v>165</v>
      </c>
      <c r="C1416" t="s">
        <v>269</v>
      </c>
      <c r="D1416" t="s">
        <v>186</v>
      </c>
      <c r="E1416" t="s">
        <v>170</v>
      </c>
      <c r="F1416" t="s">
        <v>227</v>
      </c>
      <c r="G1416" t="s">
        <v>169</v>
      </c>
      <c r="H1416">
        <v>320</v>
      </c>
      <c r="I1416" s="34">
        <f>+POWER_Regional_Daily_20150101_20190305_c11b3312[[#This Row],[Column8]]/100</f>
        <v>3.2</v>
      </c>
      <c r="J1416" s="34"/>
    </row>
    <row r="1417" spans="1:10" x14ac:dyDescent="0.25">
      <c r="A1417" s="34" t="s">
        <v>164</v>
      </c>
      <c r="B1417" s="34" t="s">
        <v>165</v>
      </c>
      <c r="C1417" t="s">
        <v>269</v>
      </c>
      <c r="D1417" t="s">
        <v>186</v>
      </c>
      <c r="E1417" t="s">
        <v>172</v>
      </c>
      <c r="F1417" t="s">
        <v>187</v>
      </c>
      <c r="G1417" t="s">
        <v>169</v>
      </c>
      <c r="H1417">
        <v>-999</v>
      </c>
      <c r="I1417" s="34">
        <f>+POWER_Regional_Daily_20150101_20190305_c11b3312[[#This Row],[Column8]]/100</f>
        <v>-9.99</v>
      </c>
      <c r="J1417" s="34"/>
    </row>
    <row r="1418" spans="1:10" x14ac:dyDescent="0.25">
      <c r="A1418" s="34" t="s">
        <v>164</v>
      </c>
      <c r="B1418" s="34" t="s">
        <v>165</v>
      </c>
      <c r="C1418" t="s">
        <v>269</v>
      </c>
      <c r="D1418" t="s">
        <v>186</v>
      </c>
      <c r="E1418" t="s">
        <v>174</v>
      </c>
      <c r="F1418" t="s">
        <v>237</v>
      </c>
      <c r="G1418" t="s">
        <v>169</v>
      </c>
      <c r="H1418">
        <v>267</v>
      </c>
      <c r="I1418" s="34">
        <f>+POWER_Regional_Daily_20150101_20190305_c11b3312[[#This Row],[Column8]]/100</f>
        <v>2.67</v>
      </c>
      <c r="J1418" s="34"/>
    </row>
    <row r="1419" spans="1:10" x14ac:dyDescent="0.25">
      <c r="A1419" s="34" t="s">
        <v>164</v>
      </c>
      <c r="B1419" s="34" t="s">
        <v>165</v>
      </c>
      <c r="C1419" t="s">
        <v>269</v>
      </c>
      <c r="D1419" t="s">
        <v>186</v>
      </c>
      <c r="E1419" t="s">
        <v>175</v>
      </c>
      <c r="F1419" t="s">
        <v>211</v>
      </c>
      <c r="G1419" t="s">
        <v>169</v>
      </c>
      <c r="H1419">
        <v>408</v>
      </c>
      <c r="I1419" s="34">
        <f>+POWER_Regional_Daily_20150101_20190305_c11b3312[[#This Row],[Column8]]/100</f>
        <v>4.08</v>
      </c>
      <c r="J1419" s="34"/>
    </row>
    <row r="1420" spans="1:10" x14ac:dyDescent="0.25">
      <c r="A1420" s="34" t="s">
        <v>164</v>
      </c>
      <c r="B1420" s="34" t="s">
        <v>165</v>
      </c>
      <c r="C1420" t="s">
        <v>269</v>
      </c>
      <c r="D1420" t="s">
        <v>186</v>
      </c>
      <c r="E1420" t="s">
        <v>177</v>
      </c>
      <c r="F1420" t="s">
        <v>224</v>
      </c>
      <c r="G1420" t="s">
        <v>169</v>
      </c>
      <c r="H1420">
        <v>433</v>
      </c>
      <c r="I1420" s="34">
        <f>+POWER_Regional_Daily_20150101_20190305_c11b3312[[#This Row],[Column8]]/100</f>
        <v>4.33</v>
      </c>
      <c r="J1420" s="34"/>
    </row>
    <row r="1421" spans="1:10" x14ac:dyDescent="0.25">
      <c r="A1421" s="34" t="s">
        <v>164</v>
      </c>
      <c r="B1421" s="34" t="s">
        <v>165</v>
      </c>
      <c r="C1421" t="s">
        <v>269</v>
      </c>
      <c r="D1421" t="s">
        <v>186</v>
      </c>
      <c r="E1421" t="s">
        <v>178</v>
      </c>
      <c r="F1421" t="s">
        <v>209</v>
      </c>
      <c r="G1421" t="s">
        <v>169</v>
      </c>
      <c r="H1421">
        <v>491</v>
      </c>
      <c r="I1421" s="34">
        <f>+POWER_Regional_Daily_20150101_20190305_c11b3312[[#This Row],[Column8]]/100</f>
        <v>4.91</v>
      </c>
      <c r="J1421" s="34"/>
    </row>
    <row r="1422" spans="1:10" x14ac:dyDescent="0.25">
      <c r="A1422" s="34" t="s">
        <v>164</v>
      </c>
      <c r="B1422" s="34" t="s">
        <v>165</v>
      </c>
      <c r="C1422" t="s">
        <v>269</v>
      </c>
      <c r="D1422" t="s">
        <v>186</v>
      </c>
      <c r="E1422" t="s">
        <v>180</v>
      </c>
      <c r="F1422" t="s">
        <v>235</v>
      </c>
      <c r="G1422" t="s">
        <v>169</v>
      </c>
      <c r="H1422">
        <v>486</v>
      </c>
      <c r="I1422" s="34">
        <f>+POWER_Regional_Daily_20150101_20190305_c11b3312[[#This Row],[Column8]]/100</f>
        <v>4.8600000000000003</v>
      </c>
      <c r="J1422" s="34"/>
    </row>
    <row r="1423" spans="1:10" x14ac:dyDescent="0.25">
      <c r="A1423" s="34" t="s">
        <v>164</v>
      </c>
      <c r="B1423" s="34" t="s">
        <v>165</v>
      </c>
      <c r="C1423" t="s">
        <v>269</v>
      </c>
      <c r="D1423" t="s">
        <v>186</v>
      </c>
      <c r="E1423" t="s">
        <v>182</v>
      </c>
      <c r="F1423" t="s">
        <v>191</v>
      </c>
      <c r="G1423" t="s">
        <v>169</v>
      </c>
      <c r="H1423">
        <v>326</v>
      </c>
      <c r="I1423" s="34">
        <f>+POWER_Regional_Daily_20150101_20190305_c11b3312[[#This Row],[Column8]]/100</f>
        <v>3.26</v>
      </c>
      <c r="J1423" s="34"/>
    </row>
    <row r="1424" spans="1:10" x14ac:dyDescent="0.25">
      <c r="A1424" s="34" t="s">
        <v>164</v>
      </c>
      <c r="B1424" s="34" t="s">
        <v>165</v>
      </c>
      <c r="C1424" t="s">
        <v>269</v>
      </c>
      <c r="D1424" t="s">
        <v>186</v>
      </c>
      <c r="E1424" t="s">
        <v>184</v>
      </c>
      <c r="F1424" t="s">
        <v>223</v>
      </c>
      <c r="G1424" t="s">
        <v>169</v>
      </c>
      <c r="H1424">
        <v>472</v>
      </c>
      <c r="I1424" s="34">
        <f>+POWER_Regional_Daily_20150101_20190305_c11b3312[[#This Row],[Column8]]/100</f>
        <v>4.72</v>
      </c>
      <c r="J1424" s="34"/>
    </row>
    <row r="1425" spans="1:10" x14ac:dyDescent="0.25">
      <c r="A1425" s="34" t="s">
        <v>164</v>
      </c>
      <c r="B1425" s="34" t="s">
        <v>165</v>
      </c>
      <c r="C1425" t="s">
        <v>269</v>
      </c>
      <c r="D1425" t="s">
        <v>186</v>
      </c>
      <c r="E1425" t="s">
        <v>186</v>
      </c>
      <c r="F1425" t="s">
        <v>197</v>
      </c>
      <c r="G1425" t="s">
        <v>169</v>
      </c>
      <c r="H1425">
        <v>423</v>
      </c>
      <c r="I1425" s="34">
        <f>+POWER_Regional_Daily_20150101_20190305_c11b3312[[#This Row],[Column8]]/100</f>
        <v>4.2300000000000004</v>
      </c>
      <c r="J1425" s="34"/>
    </row>
    <row r="1426" spans="1:10" x14ac:dyDescent="0.25">
      <c r="A1426" s="34" t="s">
        <v>164</v>
      </c>
      <c r="B1426" s="34" t="s">
        <v>165</v>
      </c>
      <c r="C1426" t="s">
        <v>269</v>
      </c>
      <c r="D1426" t="s">
        <v>186</v>
      </c>
      <c r="E1426" t="s">
        <v>188</v>
      </c>
      <c r="F1426" t="s">
        <v>191</v>
      </c>
      <c r="G1426" t="s">
        <v>169</v>
      </c>
      <c r="H1426">
        <v>324</v>
      </c>
      <c r="I1426" s="34">
        <f>+POWER_Regional_Daily_20150101_20190305_c11b3312[[#This Row],[Column8]]/100</f>
        <v>3.24</v>
      </c>
      <c r="J1426" s="34"/>
    </row>
    <row r="1427" spans="1:10" x14ac:dyDescent="0.25">
      <c r="A1427" s="34" t="s">
        <v>164</v>
      </c>
      <c r="B1427" s="34" t="s">
        <v>165</v>
      </c>
      <c r="C1427" t="s">
        <v>269</v>
      </c>
      <c r="D1427" t="s">
        <v>186</v>
      </c>
      <c r="E1427" t="s">
        <v>190</v>
      </c>
      <c r="F1427" t="s">
        <v>211</v>
      </c>
      <c r="G1427" t="s">
        <v>169</v>
      </c>
      <c r="H1427">
        <v>402</v>
      </c>
      <c r="I1427" s="34">
        <f>+POWER_Regional_Daily_20150101_20190305_c11b3312[[#This Row],[Column8]]/100</f>
        <v>4.0199999999999996</v>
      </c>
      <c r="J1427" s="34"/>
    </row>
    <row r="1428" spans="1:10" x14ac:dyDescent="0.25">
      <c r="A1428" s="34" t="s">
        <v>164</v>
      </c>
      <c r="B1428" s="34" t="s">
        <v>165</v>
      </c>
      <c r="C1428" t="s">
        <v>269</v>
      </c>
      <c r="D1428" t="s">
        <v>186</v>
      </c>
      <c r="E1428" t="s">
        <v>192</v>
      </c>
      <c r="F1428" t="s">
        <v>233</v>
      </c>
      <c r="G1428" t="s">
        <v>169</v>
      </c>
      <c r="H1428">
        <v>438</v>
      </c>
      <c r="I1428" s="34">
        <f>+POWER_Regional_Daily_20150101_20190305_c11b3312[[#This Row],[Column8]]/100</f>
        <v>4.38</v>
      </c>
      <c r="J1428" s="34"/>
    </row>
    <row r="1429" spans="1:10" x14ac:dyDescent="0.25">
      <c r="A1429" s="34" t="s">
        <v>164</v>
      </c>
      <c r="B1429" s="34" t="s">
        <v>165</v>
      </c>
      <c r="C1429" t="s">
        <v>269</v>
      </c>
      <c r="D1429" t="s">
        <v>186</v>
      </c>
      <c r="E1429" t="s">
        <v>194</v>
      </c>
      <c r="F1429" t="s">
        <v>187</v>
      </c>
      <c r="G1429" t="s">
        <v>169</v>
      </c>
      <c r="H1429">
        <v>-999</v>
      </c>
      <c r="I1429" s="34">
        <f>+POWER_Regional_Daily_20150101_20190305_c11b3312[[#This Row],[Column8]]/100</f>
        <v>-9.99</v>
      </c>
      <c r="J1429" s="34"/>
    </row>
    <row r="1430" spans="1:10" x14ac:dyDescent="0.25">
      <c r="A1430" s="34" t="s">
        <v>164</v>
      </c>
      <c r="B1430" s="34" t="s">
        <v>165</v>
      </c>
      <c r="C1430" t="s">
        <v>269</v>
      </c>
      <c r="D1430" t="s">
        <v>186</v>
      </c>
      <c r="E1430" t="s">
        <v>196</v>
      </c>
      <c r="F1430" t="s">
        <v>233</v>
      </c>
      <c r="G1430" t="s">
        <v>169</v>
      </c>
      <c r="H1430">
        <v>442</v>
      </c>
      <c r="I1430" s="34">
        <f>+POWER_Regional_Daily_20150101_20190305_c11b3312[[#This Row],[Column8]]/100</f>
        <v>4.42</v>
      </c>
      <c r="J1430" s="34"/>
    </row>
    <row r="1431" spans="1:10" x14ac:dyDescent="0.25">
      <c r="A1431" s="34" t="s">
        <v>164</v>
      </c>
      <c r="B1431" s="34" t="s">
        <v>165</v>
      </c>
      <c r="C1431" t="s">
        <v>269</v>
      </c>
      <c r="D1431" t="s">
        <v>186</v>
      </c>
      <c r="E1431" t="s">
        <v>198</v>
      </c>
      <c r="F1431" t="s">
        <v>236</v>
      </c>
      <c r="G1431" t="s">
        <v>169</v>
      </c>
      <c r="H1431">
        <v>496</v>
      </c>
      <c r="I1431" s="34">
        <f>+POWER_Regional_Daily_20150101_20190305_c11b3312[[#This Row],[Column8]]/100</f>
        <v>4.96</v>
      </c>
      <c r="J1431" s="34"/>
    </row>
    <row r="1432" spans="1:10" x14ac:dyDescent="0.25">
      <c r="A1432" s="34" t="s">
        <v>164</v>
      </c>
      <c r="B1432" s="34" t="s">
        <v>165</v>
      </c>
      <c r="C1432" t="s">
        <v>269</v>
      </c>
      <c r="D1432" t="s">
        <v>186</v>
      </c>
      <c r="E1432" t="s">
        <v>199</v>
      </c>
      <c r="F1432" t="s">
        <v>246</v>
      </c>
      <c r="G1432" t="s">
        <v>169</v>
      </c>
      <c r="H1432">
        <v>360</v>
      </c>
      <c r="I1432" s="34">
        <f>+POWER_Regional_Daily_20150101_20190305_c11b3312[[#This Row],[Column8]]/100</f>
        <v>3.6</v>
      </c>
      <c r="J1432" s="34"/>
    </row>
    <row r="1433" spans="1:10" x14ac:dyDescent="0.25">
      <c r="A1433" s="34" t="s">
        <v>164</v>
      </c>
      <c r="B1433" s="34" t="s">
        <v>165</v>
      </c>
      <c r="C1433" t="s">
        <v>269</v>
      </c>
      <c r="D1433" t="s">
        <v>186</v>
      </c>
      <c r="E1433" t="s">
        <v>200</v>
      </c>
      <c r="F1433" t="s">
        <v>187</v>
      </c>
      <c r="G1433" t="s">
        <v>169</v>
      </c>
      <c r="H1433">
        <v>-999</v>
      </c>
      <c r="I1433" s="34">
        <f>+POWER_Regional_Daily_20150101_20190305_c11b3312[[#This Row],[Column8]]/100</f>
        <v>-9.99</v>
      </c>
      <c r="J1433" s="34"/>
    </row>
    <row r="1434" spans="1:10" x14ac:dyDescent="0.25">
      <c r="A1434" s="34" t="s">
        <v>164</v>
      </c>
      <c r="B1434" s="34" t="s">
        <v>165</v>
      </c>
      <c r="C1434" t="s">
        <v>269</v>
      </c>
      <c r="D1434" t="s">
        <v>186</v>
      </c>
      <c r="E1434" t="s">
        <v>202</v>
      </c>
      <c r="F1434" t="s">
        <v>181</v>
      </c>
      <c r="G1434" t="s">
        <v>169</v>
      </c>
      <c r="H1434">
        <v>529</v>
      </c>
      <c r="I1434" s="34">
        <f>+POWER_Regional_Daily_20150101_20190305_c11b3312[[#This Row],[Column8]]/100</f>
        <v>5.29</v>
      </c>
      <c r="J1434" s="34"/>
    </row>
    <row r="1435" spans="1:10" x14ac:dyDescent="0.25">
      <c r="A1435" s="34" t="s">
        <v>164</v>
      </c>
      <c r="B1435" s="34" t="s">
        <v>165</v>
      </c>
      <c r="C1435" t="s">
        <v>269</v>
      </c>
      <c r="D1435" t="s">
        <v>186</v>
      </c>
      <c r="E1435" t="s">
        <v>203</v>
      </c>
      <c r="F1435" t="s">
        <v>204</v>
      </c>
      <c r="G1435" t="s">
        <v>169</v>
      </c>
      <c r="H1435">
        <v>408</v>
      </c>
      <c r="I1435" s="34">
        <f>+POWER_Regional_Daily_20150101_20190305_c11b3312[[#This Row],[Column8]]/100</f>
        <v>4.08</v>
      </c>
      <c r="J1435" s="34"/>
    </row>
    <row r="1436" spans="1:10" x14ac:dyDescent="0.25">
      <c r="A1436" s="34" t="s">
        <v>164</v>
      </c>
      <c r="B1436" s="34" t="s">
        <v>165</v>
      </c>
      <c r="C1436" t="s">
        <v>269</v>
      </c>
      <c r="D1436" t="s">
        <v>186</v>
      </c>
      <c r="E1436" t="s">
        <v>205</v>
      </c>
      <c r="F1436" t="s">
        <v>201</v>
      </c>
      <c r="G1436" t="s">
        <v>169</v>
      </c>
      <c r="H1436">
        <v>502</v>
      </c>
      <c r="I1436" s="34">
        <f>+POWER_Regional_Daily_20150101_20190305_c11b3312[[#This Row],[Column8]]/100</f>
        <v>5.0199999999999996</v>
      </c>
      <c r="J1436" s="34"/>
    </row>
    <row r="1437" spans="1:10" x14ac:dyDescent="0.25">
      <c r="A1437" s="34" t="s">
        <v>164</v>
      </c>
      <c r="B1437" s="34" t="s">
        <v>165</v>
      </c>
      <c r="C1437" t="s">
        <v>269</v>
      </c>
      <c r="D1437" t="s">
        <v>186</v>
      </c>
      <c r="E1437" t="s">
        <v>207</v>
      </c>
      <c r="F1437" t="s">
        <v>197</v>
      </c>
      <c r="G1437" t="s">
        <v>169</v>
      </c>
      <c r="H1437">
        <v>414</v>
      </c>
      <c r="I1437" s="34">
        <f>+POWER_Regional_Daily_20150101_20190305_c11b3312[[#This Row],[Column8]]/100</f>
        <v>4.1399999999999997</v>
      </c>
      <c r="J1437" s="34"/>
    </row>
    <row r="1438" spans="1:10" x14ac:dyDescent="0.25">
      <c r="A1438" s="34" t="s">
        <v>164</v>
      </c>
      <c r="B1438" s="34" t="s">
        <v>165</v>
      </c>
      <c r="C1438" t="s">
        <v>269</v>
      </c>
      <c r="D1438" t="s">
        <v>186</v>
      </c>
      <c r="E1438" t="s">
        <v>208</v>
      </c>
      <c r="F1438" t="s">
        <v>222</v>
      </c>
      <c r="G1438" t="s">
        <v>169</v>
      </c>
      <c r="H1438">
        <v>505</v>
      </c>
      <c r="I1438" s="34">
        <f>+POWER_Regional_Daily_20150101_20190305_c11b3312[[#This Row],[Column8]]/100</f>
        <v>5.05</v>
      </c>
      <c r="J1438" s="34"/>
    </row>
    <row r="1439" spans="1:10" x14ac:dyDescent="0.25">
      <c r="A1439" s="34" t="s">
        <v>164</v>
      </c>
      <c r="B1439" s="34" t="s">
        <v>165</v>
      </c>
      <c r="C1439" t="s">
        <v>269</v>
      </c>
      <c r="D1439" t="s">
        <v>186</v>
      </c>
      <c r="E1439" t="s">
        <v>210</v>
      </c>
      <c r="F1439" t="s">
        <v>221</v>
      </c>
      <c r="G1439" t="s">
        <v>169</v>
      </c>
      <c r="H1439">
        <v>389</v>
      </c>
      <c r="I1439" s="34">
        <f>+POWER_Regional_Daily_20150101_20190305_c11b3312[[#This Row],[Column8]]/100</f>
        <v>3.89</v>
      </c>
      <c r="J1439" s="34"/>
    </row>
    <row r="1440" spans="1:10" x14ac:dyDescent="0.25">
      <c r="A1440" s="34" t="s">
        <v>164</v>
      </c>
      <c r="B1440" s="34" t="s">
        <v>165</v>
      </c>
      <c r="C1440" t="s">
        <v>269</v>
      </c>
      <c r="D1440" t="s">
        <v>186</v>
      </c>
      <c r="E1440" t="s">
        <v>212</v>
      </c>
      <c r="F1440" t="s">
        <v>221</v>
      </c>
      <c r="G1440" t="s">
        <v>169</v>
      </c>
      <c r="H1440">
        <v>389</v>
      </c>
      <c r="I1440" s="34">
        <f>+POWER_Regional_Daily_20150101_20190305_c11b3312[[#This Row],[Column8]]/100</f>
        <v>3.89</v>
      </c>
      <c r="J1440" s="34"/>
    </row>
    <row r="1441" spans="1:10" x14ac:dyDescent="0.25">
      <c r="A1441" s="34" t="s">
        <v>164</v>
      </c>
      <c r="B1441" s="34" t="s">
        <v>165</v>
      </c>
      <c r="C1441" t="s">
        <v>269</v>
      </c>
      <c r="D1441" t="s">
        <v>186</v>
      </c>
      <c r="E1441" t="s">
        <v>214</v>
      </c>
      <c r="F1441" t="s">
        <v>191</v>
      </c>
      <c r="G1441" t="s">
        <v>169</v>
      </c>
      <c r="H1441">
        <v>322</v>
      </c>
      <c r="I1441" s="34">
        <f>+POWER_Regional_Daily_20150101_20190305_c11b3312[[#This Row],[Column8]]/100</f>
        <v>3.22</v>
      </c>
      <c r="J1441" s="34"/>
    </row>
    <row r="1442" spans="1:10" x14ac:dyDescent="0.25">
      <c r="A1442" s="34" t="s">
        <v>164</v>
      </c>
      <c r="B1442" s="34" t="s">
        <v>165</v>
      </c>
      <c r="C1442" t="s">
        <v>269</v>
      </c>
      <c r="D1442" t="s">
        <v>186</v>
      </c>
      <c r="E1442" t="s">
        <v>215</v>
      </c>
      <c r="F1442" t="s">
        <v>204</v>
      </c>
      <c r="G1442" t="s">
        <v>169</v>
      </c>
      <c r="H1442">
        <v>400</v>
      </c>
      <c r="I1442" s="34">
        <f>+POWER_Regional_Daily_20150101_20190305_c11b3312[[#This Row],[Column8]]/100</f>
        <v>4</v>
      </c>
      <c r="J1442" s="34"/>
    </row>
    <row r="1443" spans="1:10" x14ac:dyDescent="0.25">
      <c r="A1443" s="34" t="s">
        <v>164</v>
      </c>
      <c r="B1443" s="34" t="s">
        <v>165</v>
      </c>
      <c r="C1443" t="s">
        <v>269</v>
      </c>
      <c r="D1443" t="s">
        <v>186</v>
      </c>
      <c r="E1443" t="s">
        <v>217</v>
      </c>
      <c r="F1443" t="s">
        <v>213</v>
      </c>
      <c r="G1443" t="s">
        <v>169</v>
      </c>
      <c r="H1443">
        <v>512</v>
      </c>
      <c r="I1443" s="34">
        <f>+POWER_Regional_Daily_20150101_20190305_c11b3312[[#This Row],[Column8]]/100</f>
        <v>5.12</v>
      </c>
      <c r="J1443" s="34"/>
    </row>
    <row r="1444" spans="1:10" x14ac:dyDescent="0.25">
      <c r="A1444" s="34" t="s">
        <v>164</v>
      </c>
      <c r="B1444" s="34" t="s">
        <v>165</v>
      </c>
      <c r="C1444" t="s">
        <v>269</v>
      </c>
      <c r="D1444" t="s">
        <v>186</v>
      </c>
      <c r="E1444" t="s">
        <v>219</v>
      </c>
      <c r="F1444" t="s">
        <v>233</v>
      </c>
      <c r="G1444" t="s">
        <v>169</v>
      </c>
      <c r="H1444">
        <v>432</v>
      </c>
      <c r="I1444" s="34">
        <f>+POWER_Regional_Daily_20150101_20190305_c11b3312[[#This Row],[Column8]]/100</f>
        <v>4.32</v>
      </c>
      <c r="J1444" s="34"/>
    </row>
    <row r="1445" spans="1:10" x14ac:dyDescent="0.25">
      <c r="A1445" s="34" t="s">
        <v>164</v>
      </c>
      <c r="B1445" s="34" t="s">
        <v>165</v>
      </c>
      <c r="C1445" t="s">
        <v>269</v>
      </c>
      <c r="D1445" t="s">
        <v>188</v>
      </c>
      <c r="E1445" t="s">
        <v>167</v>
      </c>
      <c r="F1445" t="s">
        <v>233</v>
      </c>
      <c r="G1445" t="s">
        <v>169</v>
      </c>
      <c r="H1445">
        <v>431</v>
      </c>
      <c r="I1445" s="34">
        <f>+POWER_Regional_Daily_20150101_20190305_c11b3312[[#This Row],[Column8]]/100</f>
        <v>4.3099999999999996</v>
      </c>
      <c r="J1445" s="34"/>
    </row>
    <row r="1446" spans="1:10" x14ac:dyDescent="0.25">
      <c r="A1446" s="34" t="s">
        <v>164</v>
      </c>
      <c r="B1446" s="34" t="s">
        <v>165</v>
      </c>
      <c r="C1446" t="s">
        <v>269</v>
      </c>
      <c r="D1446" t="s">
        <v>188</v>
      </c>
      <c r="E1446" t="s">
        <v>170</v>
      </c>
      <c r="F1446" t="s">
        <v>197</v>
      </c>
      <c r="G1446" t="s">
        <v>169</v>
      </c>
      <c r="H1446">
        <v>413</v>
      </c>
      <c r="I1446" s="34">
        <f>+POWER_Regional_Daily_20150101_20190305_c11b3312[[#This Row],[Column8]]/100</f>
        <v>4.13</v>
      </c>
      <c r="J1446" s="34"/>
    </row>
    <row r="1447" spans="1:10" x14ac:dyDescent="0.25">
      <c r="A1447" s="34" t="s">
        <v>164</v>
      </c>
      <c r="B1447" s="34" t="s">
        <v>165</v>
      </c>
      <c r="C1447" t="s">
        <v>269</v>
      </c>
      <c r="D1447" t="s">
        <v>188</v>
      </c>
      <c r="E1447" t="s">
        <v>172</v>
      </c>
      <c r="F1447" t="s">
        <v>209</v>
      </c>
      <c r="G1447" t="s">
        <v>169</v>
      </c>
      <c r="H1447">
        <v>472</v>
      </c>
      <c r="I1447" s="34">
        <f>+POWER_Regional_Daily_20150101_20190305_c11b3312[[#This Row],[Column8]]/100</f>
        <v>4.72</v>
      </c>
      <c r="J1447" s="34"/>
    </row>
    <row r="1448" spans="1:10" x14ac:dyDescent="0.25">
      <c r="A1448" s="34" t="s">
        <v>164</v>
      </c>
      <c r="B1448" s="34" t="s">
        <v>165</v>
      </c>
      <c r="C1448" t="s">
        <v>269</v>
      </c>
      <c r="D1448" t="s">
        <v>188</v>
      </c>
      <c r="E1448" t="s">
        <v>174</v>
      </c>
      <c r="F1448" t="s">
        <v>195</v>
      </c>
      <c r="G1448" t="s">
        <v>169</v>
      </c>
      <c r="H1448">
        <v>433</v>
      </c>
      <c r="I1448" s="34">
        <f>+POWER_Regional_Daily_20150101_20190305_c11b3312[[#This Row],[Column8]]/100</f>
        <v>4.33</v>
      </c>
      <c r="J1448" s="34"/>
    </row>
    <row r="1449" spans="1:10" x14ac:dyDescent="0.25">
      <c r="A1449" s="34" t="s">
        <v>164</v>
      </c>
      <c r="B1449" s="34" t="s">
        <v>165</v>
      </c>
      <c r="C1449" t="s">
        <v>269</v>
      </c>
      <c r="D1449" t="s">
        <v>188</v>
      </c>
      <c r="E1449" t="s">
        <v>175</v>
      </c>
      <c r="F1449" t="s">
        <v>187</v>
      </c>
      <c r="G1449" t="s">
        <v>169</v>
      </c>
      <c r="H1449">
        <v>-999</v>
      </c>
      <c r="I1449" s="34">
        <f>+POWER_Regional_Daily_20150101_20190305_c11b3312[[#This Row],[Column8]]/100</f>
        <v>-9.99</v>
      </c>
      <c r="J1449" s="34"/>
    </row>
    <row r="1450" spans="1:10" x14ac:dyDescent="0.25">
      <c r="A1450" s="34" t="s">
        <v>164</v>
      </c>
      <c r="B1450" s="34" t="s">
        <v>165</v>
      </c>
      <c r="C1450" t="s">
        <v>269</v>
      </c>
      <c r="D1450" t="s">
        <v>188</v>
      </c>
      <c r="E1450" t="s">
        <v>177</v>
      </c>
      <c r="F1450" t="s">
        <v>235</v>
      </c>
      <c r="G1450" t="s">
        <v>169</v>
      </c>
      <c r="H1450">
        <v>464</v>
      </c>
      <c r="I1450" s="34">
        <f>+POWER_Regional_Daily_20150101_20190305_c11b3312[[#This Row],[Column8]]/100</f>
        <v>4.6399999999999997</v>
      </c>
      <c r="J1450" s="34"/>
    </row>
    <row r="1451" spans="1:10" x14ac:dyDescent="0.25">
      <c r="A1451" s="34" t="s">
        <v>164</v>
      </c>
      <c r="B1451" s="34" t="s">
        <v>165</v>
      </c>
      <c r="C1451" t="s">
        <v>269</v>
      </c>
      <c r="D1451" t="s">
        <v>188</v>
      </c>
      <c r="E1451" t="s">
        <v>178</v>
      </c>
      <c r="F1451" t="s">
        <v>195</v>
      </c>
      <c r="G1451" t="s">
        <v>169</v>
      </c>
      <c r="H1451">
        <v>437</v>
      </c>
      <c r="I1451" s="34">
        <f>+POWER_Regional_Daily_20150101_20190305_c11b3312[[#This Row],[Column8]]/100</f>
        <v>4.37</v>
      </c>
      <c r="J1451" s="34"/>
    </row>
    <row r="1452" spans="1:10" x14ac:dyDescent="0.25">
      <c r="A1452" s="34" t="s">
        <v>164</v>
      </c>
      <c r="B1452" s="34" t="s">
        <v>165</v>
      </c>
      <c r="C1452" t="s">
        <v>269</v>
      </c>
      <c r="D1452" t="s">
        <v>188</v>
      </c>
      <c r="E1452" t="s">
        <v>180</v>
      </c>
      <c r="F1452" t="s">
        <v>223</v>
      </c>
      <c r="G1452" t="s">
        <v>169</v>
      </c>
      <c r="H1452">
        <v>452</v>
      </c>
      <c r="I1452" s="34">
        <f>+POWER_Regional_Daily_20150101_20190305_c11b3312[[#This Row],[Column8]]/100</f>
        <v>4.5199999999999996</v>
      </c>
      <c r="J1452" s="34"/>
    </row>
    <row r="1453" spans="1:10" x14ac:dyDescent="0.25">
      <c r="A1453" s="34" t="s">
        <v>164</v>
      </c>
      <c r="B1453" s="34" t="s">
        <v>165</v>
      </c>
      <c r="C1453" t="s">
        <v>269</v>
      </c>
      <c r="D1453" t="s">
        <v>188</v>
      </c>
      <c r="E1453" t="s">
        <v>182</v>
      </c>
      <c r="F1453" t="s">
        <v>218</v>
      </c>
      <c r="G1453" t="s">
        <v>169</v>
      </c>
      <c r="H1453">
        <v>536</v>
      </c>
      <c r="I1453" s="34">
        <f>+POWER_Regional_Daily_20150101_20190305_c11b3312[[#This Row],[Column8]]/100</f>
        <v>5.36</v>
      </c>
      <c r="J1453" s="34"/>
    </row>
    <row r="1454" spans="1:10" x14ac:dyDescent="0.25">
      <c r="A1454" s="34" t="s">
        <v>164</v>
      </c>
      <c r="B1454" s="34" t="s">
        <v>165</v>
      </c>
      <c r="C1454" t="s">
        <v>269</v>
      </c>
      <c r="D1454" t="s">
        <v>188</v>
      </c>
      <c r="E1454" t="s">
        <v>184</v>
      </c>
      <c r="F1454" t="s">
        <v>183</v>
      </c>
      <c r="G1454" t="s">
        <v>169</v>
      </c>
      <c r="H1454">
        <v>526</v>
      </c>
      <c r="I1454" s="34">
        <f>+POWER_Regional_Daily_20150101_20190305_c11b3312[[#This Row],[Column8]]/100</f>
        <v>5.26</v>
      </c>
      <c r="J1454" s="34"/>
    </row>
    <row r="1455" spans="1:10" x14ac:dyDescent="0.25">
      <c r="A1455" s="34" t="s">
        <v>164</v>
      </c>
      <c r="B1455" s="34" t="s">
        <v>165</v>
      </c>
      <c r="C1455" t="s">
        <v>269</v>
      </c>
      <c r="D1455" t="s">
        <v>188</v>
      </c>
      <c r="E1455" t="s">
        <v>186</v>
      </c>
      <c r="F1455" t="s">
        <v>230</v>
      </c>
      <c r="G1455" t="s">
        <v>169</v>
      </c>
      <c r="H1455">
        <v>346</v>
      </c>
      <c r="I1455" s="34">
        <f>+POWER_Regional_Daily_20150101_20190305_c11b3312[[#This Row],[Column8]]/100</f>
        <v>3.46</v>
      </c>
      <c r="J1455" s="34"/>
    </row>
    <row r="1456" spans="1:10" x14ac:dyDescent="0.25">
      <c r="A1456" s="34" t="s">
        <v>164</v>
      </c>
      <c r="B1456" s="34" t="s">
        <v>165</v>
      </c>
      <c r="C1456" t="s">
        <v>269</v>
      </c>
      <c r="D1456" t="s">
        <v>188</v>
      </c>
      <c r="E1456" t="s">
        <v>188</v>
      </c>
      <c r="F1456" t="s">
        <v>233</v>
      </c>
      <c r="G1456" t="s">
        <v>169</v>
      </c>
      <c r="H1456">
        <v>427</v>
      </c>
      <c r="I1456" s="34">
        <f>+POWER_Regional_Daily_20150101_20190305_c11b3312[[#This Row],[Column8]]/100</f>
        <v>4.2699999999999996</v>
      </c>
      <c r="J1456" s="34"/>
    </row>
    <row r="1457" spans="1:10" x14ac:dyDescent="0.25">
      <c r="A1457" s="34" t="s">
        <v>164</v>
      </c>
      <c r="B1457" s="34" t="s">
        <v>165</v>
      </c>
      <c r="C1457" t="s">
        <v>269</v>
      </c>
      <c r="D1457" t="s">
        <v>188</v>
      </c>
      <c r="E1457" t="s">
        <v>190</v>
      </c>
      <c r="F1457" t="s">
        <v>209</v>
      </c>
      <c r="G1457" t="s">
        <v>169</v>
      </c>
      <c r="H1457">
        <v>472</v>
      </c>
      <c r="I1457" s="34">
        <f>+POWER_Regional_Daily_20150101_20190305_c11b3312[[#This Row],[Column8]]/100</f>
        <v>4.72</v>
      </c>
      <c r="J1457" s="34"/>
    </row>
    <row r="1458" spans="1:10" x14ac:dyDescent="0.25">
      <c r="A1458" s="34" t="s">
        <v>164</v>
      </c>
      <c r="B1458" s="34" t="s">
        <v>165</v>
      </c>
      <c r="C1458" t="s">
        <v>269</v>
      </c>
      <c r="D1458" t="s">
        <v>188</v>
      </c>
      <c r="E1458" t="s">
        <v>192</v>
      </c>
      <c r="F1458" t="s">
        <v>204</v>
      </c>
      <c r="G1458" t="s">
        <v>169</v>
      </c>
      <c r="H1458">
        <v>396</v>
      </c>
      <c r="I1458" s="34">
        <f>+POWER_Regional_Daily_20150101_20190305_c11b3312[[#This Row],[Column8]]/100</f>
        <v>3.96</v>
      </c>
      <c r="J1458" s="34"/>
    </row>
    <row r="1459" spans="1:10" x14ac:dyDescent="0.25">
      <c r="A1459" s="34" t="s">
        <v>164</v>
      </c>
      <c r="B1459" s="34" t="s">
        <v>165</v>
      </c>
      <c r="C1459" t="s">
        <v>269</v>
      </c>
      <c r="D1459" t="s">
        <v>188</v>
      </c>
      <c r="E1459" t="s">
        <v>194</v>
      </c>
      <c r="F1459" t="s">
        <v>213</v>
      </c>
      <c r="G1459" t="s">
        <v>169</v>
      </c>
      <c r="H1459">
        <v>507</v>
      </c>
      <c r="I1459" s="34">
        <f>+POWER_Regional_Daily_20150101_20190305_c11b3312[[#This Row],[Column8]]/100</f>
        <v>5.07</v>
      </c>
      <c r="J1459" s="34"/>
    </row>
    <row r="1460" spans="1:10" x14ac:dyDescent="0.25">
      <c r="A1460" s="34" t="s">
        <v>164</v>
      </c>
      <c r="B1460" s="34" t="s">
        <v>165</v>
      </c>
      <c r="C1460" t="s">
        <v>269</v>
      </c>
      <c r="D1460" t="s">
        <v>188</v>
      </c>
      <c r="E1460" t="s">
        <v>196</v>
      </c>
      <c r="F1460" t="s">
        <v>238</v>
      </c>
      <c r="G1460" t="s">
        <v>169</v>
      </c>
      <c r="H1460">
        <v>578</v>
      </c>
      <c r="I1460" s="34">
        <f>+POWER_Regional_Daily_20150101_20190305_c11b3312[[#This Row],[Column8]]/100</f>
        <v>5.78</v>
      </c>
      <c r="J1460" s="34"/>
    </row>
    <row r="1461" spans="1:10" x14ac:dyDescent="0.25">
      <c r="A1461" s="34" t="s">
        <v>164</v>
      </c>
      <c r="B1461" s="34" t="s">
        <v>165</v>
      </c>
      <c r="C1461" t="s">
        <v>269</v>
      </c>
      <c r="D1461" t="s">
        <v>188</v>
      </c>
      <c r="E1461" t="s">
        <v>198</v>
      </c>
      <c r="F1461" t="s">
        <v>231</v>
      </c>
      <c r="G1461" t="s">
        <v>169</v>
      </c>
      <c r="H1461">
        <v>441</v>
      </c>
      <c r="I1461" s="34">
        <f>+POWER_Regional_Daily_20150101_20190305_c11b3312[[#This Row],[Column8]]/100</f>
        <v>4.41</v>
      </c>
      <c r="J1461" s="34"/>
    </row>
    <row r="1462" spans="1:10" x14ac:dyDescent="0.25">
      <c r="A1462" s="34" t="s">
        <v>164</v>
      </c>
      <c r="B1462" s="34" t="s">
        <v>165</v>
      </c>
      <c r="C1462" t="s">
        <v>269</v>
      </c>
      <c r="D1462" t="s">
        <v>188</v>
      </c>
      <c r="E1462" t="s">
        <v>199</v>
      </c>
      <c r="F1462" t="s">
        <v>236</v>
      </c>
      <c r="G1462" t="s">
        <v>169</v>
      </c>
      <c r="H1462">
        <v>478</v>
      </c>
      <c r="I1462" s="34">
        <f>+POWER_Regional_Daily_20150101_20190305_c11b3312[[#This Row],[Column8]]/100</f>
        <v>4.78</v>
      </c>
      <c r="J1462" s="34"/>
    </row>
    <row r="1463" spans="1:10" x14ac:dyDescent="0.25">
      <c r="A1463" s="34" t="s">
        <v>164</v>
      </c>
      <c r="B1463" s="34" t="s">
        <v>165</v>
      </c>
      <c r="C1463" t="s">
        <v>269</v>
      </c>
      <c r="D1463" t="s">
        <v>188</v>
      </c>
      <c r="E1463" t="s">
        <v>200</v>
      </c>
      <c r="F1463" t="s">
        <v>231</v>
      </c>
      <c r="G1463" t="s">
        <v>169</v>
      </c>
      <c r="H1463">
        <v>440</v>
      </c>
      <c r="I1463" s="34">
        <f>+POWER_Regional_Daily_20150101_20190305_c11b3312[[#This Row],[Column8]]/100</f>
        <v>4.4000000000000004</v>
      </c>
      <c r="J1463" s="34"/>
    </row>
    <row r="1464" spans="1:10" x14ac:dyDescent="0.25">
      <c r="A1464" s="34" t="s">
        <v>164</v>
      </c>
      <c r="B1464" s="34" t="s">
        <v>165</v>
      </c>
      <c r="C1464" t="s">
        <v>269</v>
      </c>
      <c r="D1464" t="s">
        <v>188</v>
      </c>
      <c r="E1464" t="s">
        <v>202</v>
      </c>
      <c r="F1464" t="s">
        <v>209</v>
      </c>
      <c r="G1464" t="s">
        <v>169</v>
      </c>
      <c r="H1464">
        <v>472</v>
      </c>
      <c r="I1464" s="34">
        <f>+POWER_Regional_Daily_20150101_20190305_c11b3312[[#This Row],[Column8]]/100</f>
        <v>4.72</v>
      </c>
      <c r="J1464" s="34"/>
    </row>
    <row r="1465" spans="1:10" x14ac:dyDescent="0.25">
      <c r="A1465" s="34" t="s">
        <v>164</v>
      </c>
      <c r="B1465" s="34" t="s">
        <v>165</v>
      </c>
      <c r="C1465" t="s">
        <v>269</v>
      </c>
      <c r="D1465" t="s">
        <v>188</v>
      </c>
      <c r="E1465" t="s">
        <v>203</v>
      </c>
      <c r="F1465" t="s">
        <v>187</v>
      </c>
      <c r="G1465" t="s">
        <v>169</v>
      </c>
      <c r="H1465">
        <v>-999</v>
      </c>
      <c r="I1465" s="34">
        <f>+POWER_Regional_Daily_20150101_20190305_c11b3312[[#This Row],[Column8]]/100</f>
        <v>-9.99</v>
      </c>
      <c r="J1465" s="34"/>
    </row>
    <row r="1466" spans="1:10" x14ac:dyDescent="0.25">
      <c r="A1466" s="34" t="s">
        <v>164</v>
      </c>
      <c r="B1466" s="34" t="s">
        <v>165</v>
      </c>
      <c r="C1466" t="s">
        <v>269</v>
      </c>
      <c r="D1466" t="s">
        <v>188</v>
      </c>
      <c r="E1466" t="s">
        <v>205</v>
      </c>
      <c r="F1466" t="s">
        <v>233</v>
      </c>
      <c r="G1466" t="s">
        <v>169</v>
      </c>
      <c r="H1466">
        <v>427</v>
      </c>
      <c r="I1466" s="34">
        <f>+POWER_Regional_Daily_20150101_20190305_c11b3312[[#This Row],[Column8]]/100</f>
        <v>4.2699999999999996</v>
      </c>
      <c r="J1466" s="34"/>
    </row>
    <row r="1467" spans="1:10" x14ac:dyDescent="0.25">
      <c r="A1467" s="34" t="s">
        <v>164</v>
      </c>
      <c r="B1467" s="34" t="s">
        <v>165</v>
      </c>
      <c r="C1467" t="s">
        <v>269</v>
      </c>
      <c r="D1467" t="s">
        <v>188</v>
      </c>
      <c r="E1467" t="s">
        <v>207</v>
      </c>
      <c r="F1467" t="s">
        <v>232</v>
      </c>
      <c r="G1467" t="s">
        <v>169</v>
      </c>
      <c r="H1467">
        <v>549</v>
      </c>
      <c r="I1467" s="34">
        <f>+POWER_Regional_Daily_20150101_20190305_c11b3312[[#This Row],[Column8]]/100</f>
        <v>5.49</v>
      </c>
      <c r="J1467" s="34"/>
    </row>
    <row r="1468" spans="1:10" x14ac:dyDescent="0.25">
      <c r="A1468" s="34" t="s">
        <v>164</v>
      </c>
      <c r="B1468" s="34" t="s">
        <v>165</v>
      </c>
      <c r="C1468" t="s">
        <v>269</v>
      </c>
      <c r="D1468" t="s">
        <v>188</v>
      </c>
      <c r="E1468" t="s">
        <v>208</v>
      </c>
      <c r="F1468" t="s">
        <v>232</v>
      </c>
      <c r="G1468" t="s">
        <v>169</v>
      </c>
      <c r="H1468">
        <v>555</v>
      </c>
      <c r="I1468" s="34">
        <f>+POWER_Regional_Daily_20150101_20190305_c11b3312[[#This Row],[Column8]]/100</f>
        <v>5.55</v>
      </c>
      <c r="J1468" s="34"/>
    </row>
    <row r="1469" spans="1:10" x14ac:dyDescent="0.25">
      <c r="A1469" s="34" t="s">
        <v>164</v>
      </c>
      <c r="B1469" s="34" t="s">
        <v>165</v>
      </c>
      <c r="C1469" t="s">
        <v>269</v>
      </c>
      <c r="D1469" t="s">
        <v>188</v>
      </c>
      <c r="E1469" t="s">
        <v>210</v>
      </c>
      <c r="F1469" t="s">
        <v>238</v>
      </c>
      <c r="G1469" t="s">
        <v>169</v>
      </c>
      <c r="H1469">
        <v>583</v>
      </c>
      <c r="I1469" s="34">
        <f>+POWER_Regional_Daily_20150101_20190305_c11b3312[[#This Row],[Column8]]/100</f>
        <v>5.83</v>
      </c>
      <c r="J1469" s="34"/>
    </row>
    <row r="1470" spans="1:10" x14ac:dyDescent="0.25">
      <c r="A1470" s="34" t="s">
        <v>164</v>
      </c>
      <c r="B1470" s="34" t="s">
        <v>165</v>
      </c>
      <c r="C1470" t="s">
        <v>269</v>
      </c>
      <c r="D1470" t="s">
        <v>188</v>
      </c>
      <c r="E1470" t="s">
        <v>212</v>
      </c>
      <c r="F1470" t="s">
        <v>248</v>
      </c>
      <c r="G1470" t="s">
        <v>169</v>
      </c>
      <c r="H1470">
        <v>619</v>
      </c>
      <c r="I1470" s="34">
        <f>+POWER_Regional_Daily_20150101_20190305_c11b3312[[#This Row],[Column8]]/100</f>
        <v>6.19</v>
      </c>
      <c r="J1470" s="34"/>
    </row>
    <row r="1471" spans="1:10" x14ac:dyDescent="0.25">
      <c r="A1471" s="34" t="s">
        <v>164</v>
      </c>
      <c r="B1471" s="34" t="s">
        <v>165</v>
      </c>
      <c r="C1471" t="s">
        <v>269</v>
      </c>
      <c r="D1471" t="s">
        <v>188</v>
      </c>
      <c r="E1471" t="s">
        <v>214</v>
      </c>
      <c r="F1471" t="s">
        <v>183</v>
      </c>
      <c r="G1471" t="s">
        <v>169</v>
      </c>
      <c r="H1471">
        <v>529</v>
      </c>
      <c r="I1471" s="34">
        <f>+POWER_Regional_Daily_20150101_20190305_c11b3312[[#This Row],[Column8]]/100</f>
        <v>5.29</v>
      </c>
      <c r="J1471" s="34"/>
    </row>
    <row r="1472" spans="1:10" x14ac:dyDescent="0.25">
      <c r="A1472" s="34" t="s">
        <v>164</v>
      </c>
      <c r="B1472" s="34" t="s">
        <v>165</v>
      </c>
      <c r="C1472" t="s">
        <v>269</v>
      </c>
      <c r="D1472" t="s">
        <v>188</v>
      </c>
      <c r="E1472" t="s">
        <v>215</v>
      </c>
      <c r="F1472" t="s">
        <v>222</v>
      </c>
      <c r="G1472" t="s">
        <v>169</v>
      </c>
      <c r="H1472">
        <v>497</v>
      </c>
      <c r="I1472" s="34">
        <f>+POWER_Regional_Daily_20150101_20190305_c11b3312[[#This Row],[Column8]]/100</f>
        <v>4.97</v>
      </c>
      <c r="J1472" s="34"/>
    </row>
    <row r="1473" spans="1:10" x14ac:dyDescent="0.25">
      <c r="A1473" s="34" t="s">
        <v>164</v>
      </c>
      <c r="B1473" s="34" t="s">
        <v>165</v>
      </c>
      <c r="C1473" t="s">
        <v>269</v>
      </c>
      <c r="D1473" t="s">
        <v>188</v>
      </c>
      <c r="E1473" t="s">
        <v>217</v>
      </c>
      <c r="F1473" t="s">
        <v>185</v>
      </c>
      <c r="G1473" t="s">
        <v>321</v>
      </c>
      <c r="H1473">
        <v>562</v>
      </c>
      <c r="I1473" s="34">
        <f>+POWER_Regional_Daily_20150101_20190305_c11b3312[[#This Row],[Column8]]/100</f>
        <v>5.62</v>
      </c>
      <c r="J1473" s="34"/>
    </row>
    <row r="1474" spans="1:10" x14ac:dyDescent="0.25">
      <c r="A1474" s="34" t="s">
        <v>164</v>
      </c>
      <c r="B1474" s="34" t="s">
        <v>165</v>
      </c>
      <c r="C1474" t="s">
        <v>269</v>
      </c>
      <c r="D1474" t="s">
        <v>188</v>
      </c>
      <c r="E1474" t="s">
        <v>219</v>
      </c>
      <c r="F1474" t="s">
        <v>209</v>
      </c>
      <c r="G1474" t="s">
        <v>169</v>
      </c>
      <c r="H1474">
        <v>474</v>
      </c>
      <c r="I1474" s="34">
        <f>+POWER_Regional_Daily_20150101_20190305_c11b3312[[#This Row],[Column8]]/100</f>
        <v>4.74</v>
      </c>
      <c r="J1474" s="34"/>
    </row>
    <row r="1475" spans="1:10" x14ac:dyDescent="0.25">
      <c r="A1475" s="34" t="s">
        <v>164</v>
      </c>
      <c r="B1475" s="34" t="s">
        <v>165</v>
      </c>
      <c r="C1475" t="s">
        <v>269</v>
      </c>
      <c r="D1475" t="s">
        <v>188</v>
      </c>
      <c r="E1475" t="s">
        <v>220</v>
      </c>
      <c r="F1475" t="s">
        <v>168</v>
      </c>
      <c r="G1475" t="s">
        <v>169</v>
      </c>
      <c r="H1475">
        <v>574</v>
      </c>
      <c r="I1475" s="34">
        <f>+POWER_Regional_Daily_20150101_20190305_c11b3312[[#This Row],[Column8]]/100</f>
        <v>5.74</v>
      </c>
      <c r="J1475" s="34"/>
    </row>
    <row r="1476" spans="1:10" x14ac:dyDescent="0.25">
      <c r="A1476" s="34" t="s">
        <v>164</v>
      </c>
      <c r="B1476" s="34" t="s">
        <v>165</v>
      </c>
      <c r="C1476" t="s">
        <v>271</v>
      </c>
      <c r="D1476" t="s">
        <v>167</v>
      </c>
      <c r="E1476" t="s">
        <v>167</v>
      </c>
      <c r="F1476" t="s">
        <v>248</v>
      </c>
      <c r="G1476" t="s">
        <v>255</v>
      </c>
      <c r="H1476">
        <v>616</v>
      </c>
      <c r="I1476" s="34">
        <f>+POWER_Regional_Daily_20150101_20190305_c11b3312[[#This Row],[Column8]]/100</f>
        <v>6.16</v>
      </c>
      <c r="J1476" s="34"/>
    </row>
    <row r="1477" spans="1:10" x14ac:dyDescent="0.25">
      <c r="A1477" s="34" t="s">
        <v>164</v>
      </c>
      <c r="B1477" s="34" t="s">
        <v>165</v>
      </c>
      <c r="C1477" t="s">
        <v>271</v>
      </c>
      <c r="D1477" t="s">
        <v>167</v>
      </c>
      <c r="E1477" t="s">
        <v>170</v>
      </c>
      <c r="F1477" t="s">
        <v>173</v>
      </c>
      <c r="G1477" t="s">
        <v>179</v>
      </c>
      <c r="H1477">
        <v>652</v>
      </c>
      <c r="I1477" s="34">
        <f>+POWER_Regional_Daily_20150101_20190305_c11b3312[[#This Row],[Column8]]/100</f>
        <v>6.52</v>
      </c>
      <c r="J1477" s="34"/>
    </row>
    <row r="1478" spans="1:10" x14ac:dyDescent="0.25">
      <c r="A1478" s="34" t="s">
        <v>164</v>
      </c>
      <c r="B1478" s="34" t="s">
        <v>165</v>
      </c>
      <c r="C1478" t="s">
        <v>271</v>
      </c>
      <c r="D1478" t="s">
        <v>167</v>
      </c>
      <c r="E1478" t="s">
        <v>172</v>
      </c>
      <c r="F1478" t="s">
        <v>234</v>
      </c>
      <c r="G1478" t="s">
        <v>322</v>
      </c>
      <c r="H1478">
        <v>599</v>
      </c>
      <c r="I1478" s="34">
        <f>+POWER_Regional_Daily_20150101_20190305_c11b3312[[#This Row],[Column8]]/100</f>
        <v>5.99</v>
      </c>
      <c r="J1478" s="34"/>
    </row>
    <row r="1479" spans="1:10" x14ac:dyDescent="0.25">
      <c r="A1479" s="34" t="s">
        <v>164</v>
      </c>
      <c r="B1479" s="34" t="s">
        <v>165</v>
      </c>
      <c r="C1479" t="s">
        <v>271</v>
      </c>
      <c r="D1479" t="s">
        <v>167</v>
      </c>
      <c r="E1479" t="s">
        <v>174</v>
      </c>
      <c r="F1479" t="s">
        <v>247</v>
      </c>
      <c r="G1479" t="s">
        <v>169</v>
      </c>
      <c r="H1479">
        <v>639</v>
      </c>
      <c r="I1479" s="34">
        <f>+POWER_Regional_Daily_20150101_20190305_c11b3312[[#This Row],[Column8]]/100</f>
        <v>6.39</v>
      </c>
      <c r="J1479" s="34"/>
    </row>
    <row r="1480" spans="1:10" x14ac:dyDescent="0.25">
      <c r="A1480" s="34" t="s">
        <v>164</v>
      </c>
      <c r="B1480" s="34" t="s">
        <v>165</v>
      </c>
      <c r="C1480" t="s">
        <v>271</v>
      </c>
      <c r="D1480" t="s">
        <v>167</v>
      </c>
      <c r="E1480" t="s">
        <v>175</v>
      </c>
      <c r="F1480" t="s">
        <v>201</v>
      </c>
      <c r="G1480" t="s">
        <v>169</v>
      </c>
      <c r="H1480">
        <v>492</v>
      </c>
      <c r="I1480" s="34">
        <f>+POWER_Regional_Daily_20150101_20190305_c11b3312[[#This Row],[Column8]]/100</f>
        <v>4.92</v>
      </c>
      <c r="J1480" s="34"/>
    </row>
    <row r="1481" spans="1:10" x14ac:dyDescent="0.25">
      <c r="A1481" s="34" t="s">
        <v>164</v>
      </c>
      <c r="B1481" s="34" t="s">
        <v>165</v>
      </c>
      <c r="C1481" t="s">
        <v>271</v>
      </c>
      <c r="D1481" t="s">
        <v>167</v>
      </c>
      <c r="E1481" t="s">
        <v>177</v>
      </c>
      <c r="F1481" t="s">
        <v>187</v>
      </c>
      <c r="G1481" t="s">
        <v>169</v>
      </c>
      <c r="H1481">
        <v>-999</v>
      </c>
      <c r="I1481" s="34">
        <f>+POWER_Regional_Daily_20150101_20190305_c11b3312[[#This Row],[Column8]]/100</f>
        <v>-9.99</v>
      </c>
      <c r="J1481" s="34"/>
    </row>
    <row r="1482" spans="1:10" x14ac:dyDescent="0.25">
      <c r="A1482" s="34" t="s">
        <v>164</v>
      </c>
      <c r="B1482" s="34" t="s">
        <v>165</v>
      </c>
      <c r="C1482" t="s">
        <v>271</v>
      </c>
      <c r="D1482" t="s">
        <v>167</v>
      </c>
      <c r="E1482" t="s">
        <v>178</v>
      </c>
      <c r="F1482" t="s">
        <v>191</v>
      </c>
      <c r="G1482" t="s">
        <v>169</v>
      </c>
      <c r="H1482">
        <v>319</v>
      </c>
      <c r="I1482" s="34">
        <f>+POWER_Regional_Daily_20150101_20190305_c11b3312[[#This Row],[Column8]]/100</f>
        <v>3.19</v>
      </c>
      <c r="J1482" s="34"/>
    </row>
    <row r="1483" spans="1:10" x14ac:dyDescent="0.25">
      <c r="A1483" s="34" t="s">
        <v>164</v>
      </c>
      <c r="B1483" s="34" t="s">
        <v>165</v>
      </c>
      <c r="C1483" t="s">
        <v>271</v>
      </c>
      <c r="D1483" t="s">
        <v>167</v>
      </c>
      <c r="E1483" t="s">
        <v>180</v>
      </c>
      <c r="F1483" t="s">
        <v>231</v>
      </c>
      <c r="G1483" t="s">
        <v>169</v>
      </c>
      <c r="H1483">
        <v>452</v>
      </c>
      <c r="I1483" s="34">
        <f>+POWER_Regional_Daily_20150101_20190305_c11b3312[[#This Row],[Column8]]/100</f>
        <v>4.5199999999999996</v>
      </c>
      <c r="J1483" s="34"/>
    </row>
    <row r="1484" spans="1:10" x14ac:dyDescent="0.25">
      <c r="A1484" s="34" t="s">
        <v>164</v>
      </c>
      <c r="B1484" s="34" t="s">
        <v>165</v>
      </c>
      <c r="C1484" t="s">
        <v>271</v>
      </c>
      <c r="D1484" t="s">
        <v>167</v>
      </c>
      <c r="E1484" t="s">
        <v>182</v>
      </c>
      <c r="F1484" t="s">
        <v>240</v>
      </c>
      <c r="G1484" t="s">
        <v>169</v>
      </c>
      <c r="H1484">
        <v>258</v>
      </c>
      <c r="I1484" s="34">
        <f>+POWER_Regional_Daily_20150101_20190305_c11b3312[[#This Row],[Column8]]/100</f>
        <v>2.58</v>
      </c>
      <c r="J1484" s="34"/>
    </row>
    <row r="1485" spans="1:10" x14ac:dyDescent="0.25">
      <c r="A1485" s="34" t="s">
        <v>164</v>
      </c>
      <c r="B1485" s="34" t="s">
        <v>165</v>
      </c>
      <c r="C1485" t="s">
        <v>271</v>
      </c>
      <c r="D1485" t="s">
        <v>167</v>
      </c>
      <c r="E1485" t="s">
        <v>184</v>
      </c>
      <c r="F1485" t="s">
        <v>246</v>
      </c>
      <c r="G1485" t="s">
        <v>169</v>
      </c>
      <c r="H1485">
        <v>358</v>
      </c>
      <c r="I1485" s="34">
        <f>+POWER_Regional_Daily_20150101_20190305_c11b3312[[#This Row],[Column8]]/100</f>
        <v>3.58</v>
      </c>
      <c r="J1485" s="34"/>
    </row>
    <row r="1486" spans="1:10" x14ac:dyDescent="0.25">
      <c r="A1486" s="34" t="s">
        <v>164</v>
      </c>
      <c r="B1486" s="34" t="s">
        <v>165</v>
      </c>
      <c r="C1486" t="s">
        <v>271</v>
      </c>
      <c r="D1486" t="s">
        <v>167</v>
      </c>
      <c r="E1486" t="s">
        <v>186</v>
      </c>
      <c r="F1486" t="s">
        <v>181</v>
      </c>
      <c r="G1486" t="s">
        <v>169</v>
      </c>
      <c r="H1486">
        <v>522</v>
      </c>
      <c r="I1486" s="34">
        <f>+POWER_Regional_Daily_20150101_20190305_c11b3312[[#This Row],[Column8]]/100</f>
        <v>5.22</v>
      </c>
      <c r="J1486" s="34"/>
    </row>
    <row r="1487" spans="1:10" x14ac:dyDescent="0.25">
      <c r="A1487" s="34" t="s">
        <v>164</v>
      </c>
      <c r="B1487" s="34" t="s">
        <v>165</v>
      </c>
      <c r="C1487" t="s">
        <v>271</v>
      </c>
      <c r="D1487" t="s">
        <v>167</v>
      </c>
      <c r="E1487" t="s">
        <v>188</v>
      </c>
      <c r="F1487" t="s">
        <v>223</v>
      </c>
      <c r="G1487" t="s">
        <v>169</v>
      </c>
      <c r="H1487">
        <v>462</v>
      </c>
      <c r="I1487" s="34">
        <f>+POWER_Regional_Daily_20150101_20190305_c11b3312[[#This Row],[Column8]]/100</f>
        <v>4.62</v>
      </c>
      <c r="J1487" s="34"/>
    </row>
    <row r="1488" spans="1:10" x14ac:dyDescent="0.25">
      <c r="A1488" s="34" t="s">
        <v>164</v>
      </c>
      <c r="B1488" s="34" t="s">
        <v>165</v>
      </c>
      <c r="C1488" t="s">
        <v>271</v>
      </c>
      <c r="D1488" t="s">
        <v>167</v>
      </c>
      <c r="E1488" t="s">
        <v>190</v>
      </c>
      <c r="F1488" t="s">
        <v>204</v>
      </c>
      <c r="G1488" t="s">
        <v>169</v>
      </c>
      <c r="H1488">
        <v>401</v>
      </c>
      <c r="I1488" s="34">
        <f>+POWER_Regional_Daily_20150101_20190305_c11b3312[[#This Row],[Column8]]/100</f>
        <v>4.01</v>
      </c>
      <c r="J1488" s="34"/>
    </row>
    <row r="1489" spans="1:10" x14ac:dyDescent="0.25">
      <c r="A1489" s="34" t="s">
        <v>164</v>
      </c>
      <c r="B1489" s="34" t="s">
        <v>165</v>
      </c>
      <c r="C1489" t="s">
        <v>271</v>
      </c>
      <c r="D1489" t="s">
        <v>167</v>
      </c>
      <c r="E1489" t="s">
        <v>192</v>
      </c>
      <c r="F1489" t="s">
        <v>191</v>
      </c>
      <c r="G1489" t="s">
        <v>169</v>
      </c>
      <c r="H1489">
        <v>321</v>
      </c>
      <c r="I1489" s="34">
        <f>+POWER_Regional_Daily_20150101_20190305_c11b3312[[#This Row],[Column8]]/100</f>
        <v>3.21</v>
      </c>
      <c r="J1489" s="34"/>
    </row>
    <row r="1490" spans="1:10" x14ac:dyDescent="0.25">
      <c r="A1490" s="34" t="s">
        <v>164</v>
      </c>
      <c r="B1490" s="34" t="s">
        <v>165</v>
      </c>
      <c r="C1490" t="s">
        <v>271</v>
      </c>
      <c r="D1490" t="s">
        <v>167</v>
      </c>
      <c r="E1490" t="s">
        <v>194</v>
      </c>
      <c r="F1490" t="s">
        <v>235</v>
      </c>
      <c r="G1490" t="s">
        <v>169</v>
      </c>
      <c r="H1490">
        <v>473</v>
      </c>
      <c r="I1490" s="34">
        <f>+POWER_Regional_Daily_20150101_20190305_c11b3312[[#This Row],[Column8]]/100</f>
        <v>4.7300000000000004</v>
      </c>
      <c r="J1490" s="34"/>
    </row>
    <row r="1491" spans="1:10" x14ac:dyDescent="0.25">
      <c r="A1491" s="34" t="s">
        <v>164</v>
      </c>
      <c r="B1491" s="34" t="s">
        <v>165</v>
      </c>
      <c r="C1491" t="s">
        <v>271</v>
      </c>
      <c r="D1491" t="s">
        <v>167</v>
      </c>
      <c r="E1491" t="s">
        <v>196</v>
      </c>
      <c r="F1491" t="s">
        <v>193</v>
      </c>
      <c r="G1491" t="s">
        <v>169</v>
      </c>
      <c r="H1491">
        <v>380</v>
      </c>
      <c r="I1491" s="34">
        <f>+POWER_Regional_Daily_20150101_20190305_c11b3312[[#This Row],[Column8]]/100</f>
        <v>3.8</v>
      </c>
      <c r="J1491" s="34"/>
    </row>
    <row r="1492" spans="1:10" x14ac:dyDescent="0.25">
      <c r="A1492" s="34" t="s">
        <v>164</v>
      </c>
      <c r="B1492" s="34" t="s">
        <v>165</v>
      </c>
      <c r="C1492" t="s">
        <v>271</v>
      </c>
      <c r="D1492" t="s">
        <v>167</v>
      </c>
      <c r="E1492" t="s">
        <v>198</v>
      </c>
      <c r="F1492" t="s">
        <v>195</v>
      </c>
      <c r="G1492" t="s">
        <v>169</v>
      </c>
      <c r="H1492">
        <v>444</v>
      </c>
      <c r="I1492" s="34">
        <f>+POWER_Regional_Daily_20150101_20190305_c11b3312[[#This Row],[Column8]]/100</f>
        <v>4.4400000000000004</v>
      </c>
      <c r="J1492" s="34"/>
    </row>
    <row r="1493" spans="1:10" x14ac:dyDescent="0.25">
      <c r="A1493" s="34" t="s">
        <v>164</v>
      </c>
      <c r="B1493" s="34" t="s">
        <v>165</v>
      </c>
      <c r="C1493" t="s">
        <v>271</v>
      </c>
      <c r="D1493" t="s">
        <v>167</v>
      </c>
      <c r="E1493" t="s">
        <v>199</v>
      </c>
      <c r="F1493" t="s">
        <v>213</v>
      </c>
      <c r="G1493" t="s">
        <v>169</v>
      </c>
      <c r="H1493">
        <v>518</v>
      </c>
      <c r="I1493" s="34">
        <f>+POWER_Regional_Daily_20150101_20190305_c11b3312[[#This Row],[Column8]]/100</f>
        <v>5.18</v>
      </c>
      <c r="J1493" s="34"/>
    </row>
    <row r="1494" spans="1:10" x14ac:dyDescent="0.25">
      <c r="A1494" s="34" t="s">
        <v>164</v>
      </c>
      <c r="B1494" s="34" t="s">
        <v>165</v>
      </c>
      <c r="C1494" t="s">
        <v>271</v>
      </c>
      <c r="D1494" t="s">
        <v>167</v>
      </c>
      <c r="E1494" t="s">
        <v>200</v>
      </c>
      <c r="F1494" t="s">
        <v>209</v>
      </c>
      <c r="G1494" t="s">
        <v>169</v>
      </c>
      <c r="H1494">
        <v>481</v>
      </c>
      <c r="I1494" s="34">
        <f>+POWER_Regional_Daily_20150101_20190305_c11b3312[[#This Row],[Column8]]/100</f>
        <v>4.8099999999999996</v>
      </c>
      <c r="J1494" s="34"/>
    </row>
    <row r="1495" spans="1:10" x14ac:dyDescent="0.25">
      <c r="A1495" s="34" t="s">
        <v>164</v>
      </c>
      <c r="B1495" s="34" t="s">
        <v>165</v>
      </c>
      <c r="C1495" t="s">
        <v>271</v>
      </c>
      <c r="D1495" t="s">
        <v>167</v>
      </c>
      <c r="E1495" t="s">
        <v>202</v>
      </c>
      <c r="F1495" t="s">
        <v>222</v>
      </c>
      <c r="G1495" t="s">
        <v>169</v>
      </c>
      <c r="H1495">
        <v>513</v>
      </c>
      <c r="I1495" s="34">
        <f>+POWER_Regional_Daily_20150101_20190305_c11b3312[[#This Row],[Column8]]/100</f>
        <v>5.13</v>
      </c>
      <c r="J1495" s="34"/>
    </row>
    <row r="1496" spans="1:10" x14ac:dyDescent="0.25">
      <c r="A1496" s="34" t="s">
        <v>164</v>
      </c>
      <c r="B1496" s="34" t="s">
        <v>165</v>
      </c>
      <c r="C1496" t="s">
        <v>271</v>
      </c>
      <c r="D1496" t="s">
        <v>167</v>
      </c>
      <c r="E1496" t="s">
        <v>203</v>
      </c>
      <c r="F1496" t="s">
        <v>222</v>
      </c>
      <c r="G1496" t="s">
        <v>169</v>
      </c>
      <c r="H1496">
        <v>511</v>
      </c>
      <c r="I1496" s="34">
        <f>+POWER_Regional_Daily_20150101_20190305_c11b3312[[#This Row],[Column8]]/100</f>
        <v>5.1100000000000003</v>
      </c>
      <c r="J1496" s="34"/>
    </row>
    <row r="1497" spans="1:10" x14ac:dyDescent="0.25">
      <c r="A1497" s="34" t="s">
        <v>164</v>
      </c>
      <c r="B1497" s="34" t="s">
        <v>165</v>
      </c>
      <c r="C1497" t="s">
        <v>271</v>
      </c>
      <c r="D1497" t="s">
        <v>167</v>
      </c>
      <c r="E1497" t="s">
        <v>205</v>
      </c>
      <c r="F1497" t="s">
        <v>187</v>
      </c>
      <c r="G1497" t="s">
        <v>169</v>
      </c>
      <c r="H1497">
        <v>-999</v>
      </c>
      <c r="I1497" s="34">
        <f>+POWER_Regional_Daily_20150101_20190305_c11b3312[[#This Row],[Column8]]/100</f>
        <v>-9.99</v>
      </c>
      <c r="J1497" s="34"/>
    </row>
    <row r="1498" spans="1:10" x14ac:dyDescent="0.25">
      <c r="A1498" s="34" t="s">
        <v>164</v>
      </c>
      <c r="B1498" s="34" t="s">
        <v>165</v>
      </c>
      <c r="C1498" t="s">
        <v>271</v>
      </c>
      <c r="D1498" t="s">
        <v>167</v>
      </c>
      <c r="E1498" t="s">
        <v>207</v>
      </c>
      <c r="F1498" t="s">
        <v>234</v>
      </c>
      <c r="G1498" t="s">
        <v>169</v>
      </c>
      <c r="H1498">
        <v>619</v>
      </c>
      <c r="I1498" s="34">
        <f>+POWER_Regional_Daily_20150101_20190305_c11b3312[[#This Row],[Column8]]/100</f>
        <v>6.19</v>
      </c>
      <c r="J1498" s="34"/>
    </row>
    <row r="1499" spans="1:10" x14ac:dyDescent="0.25">
      <c r="A1499" s="34" t="s">
        <v>164</v>
      </c>
      <c r="B1499" s="34" t="s">
        <v>165</v>
      </c>
      <c r="C1499" t="s">
        <v>271</v>
      </c>
      <c r="D1499" t="s">
        <v>167</v>
      </c>
      <c r="E1499" t="s">
        <v>208</v>
      </c>
      <c r="F1499" t="s">
        <v>238</v>
      </c>
      <c r="G1499" t="s">
        <v>169</v>
      </c>
      <c r="H1499">
        <v>603</v>
      </c>
      <c r="I1499" s="34">
        <f>+POWER_Regional_Daily_20150101_20190305_c11b3312[[#This Row],[Column8]]/100</f>
        <v>6.03</v>
      </c>
      <c r="J1499" s="34"/>
    </row>
    <row r="1500" spans="1:10" x14ac:dyDescent="0.25">
      <c r="A1500" s="34" t="s">
        <v>164</v>
      </c>
      <c r="B1500" s="34" t="s">
        <v>165</v>
      </c>
      <c r="C1500" t="s">
        <v>271</v>
      </c>
      <c r="D1500" t="s">
        <v>167</v>
      </c>
      <c r="E1500" t="s">
        <v>210</v>
      </c>
      <c r="F1500" t="s">
        <v>224</v>
      </c>
      <c r="G1500" t="s">
        <v>169</v>
      </c>
      <c r="H1500">
        <v>435</v>
      </c>
      <c r="I1500" s="34">
        <f>+POWER_Regional_Daily_20150101_20190305_c11b3312[[#This Row],[Column8]]/100</f>
        <v>4.3499999999999996</v>
      </c>
      <c r="J1500" s="34"/>
    </row>
    <row r="1501" spans="1:10" x14ac:dyDescent="0.25">
      <c r="A1501" s="34" t="s">
        <v>164</v>
      </c>
      <c r="B1501" s="34" t="s">
        <v>165</v>
      </c>
      <c r="C1501" t="s">
        <v>271</v>
      </c>
      <c r="D1501" t="s">
        <v>167</v>
      </c>
      <c r="E1501" t="s">
        <v>212</v>
      </c>
      <c r="F1501" t="s">
        <v>232</v>
      </c>
      <c r="G1501" t="s">
        <v>169</v>
      </c>
      <c r="H1501">
        <v>577</v>
      </c>
      <c r="I1501" s="34">
        <f>+POWER_Regional_Daily_20150101_20190305_c11b3312[[#This Row],[Column8]]/100</f>
        <v>5.77</v>
      </c>
      <c r="J1501" s="34"/>
    </row>
    <row r="1502" spans="1:10" x14ac:dyDescent="0.25">
      <c r="A1502" s="34" t="s">
        <v>164</v>
      </c>
      <c r="B1502" s="34" t="s">
        <v>165</v>
      </c>
      <c r="C1502" t="s">
        <v>271</v>
      </c>
      <c r="D1502" t="s">
        <v>167</v>
      </c>
      <c r="E1502" t="s">
        <v>214</v>
      </c>
      <c r="F1502" t="s">
        <v>231</v>
      </c>
      <c r="G1502" t="s">
        <v>169</v>
      </c>
      <c r="H1502">
        <v>464</v>
      </c>
      <c r="I1502" s="34">
        <f>+POWER_Regional_Daily_20150101_20190305_c11b3312[[#This Row],[Column8]]/100</f>
        <v>4.6399999999999997</v>
      </c>
      <c r="J1502" s="34"/>
    </row>
    <row r="1503" spans="1:10" x14ac:dyDescent="0.25">
      <c r="A1503" s="34" t="s">
        <v>164</v>
      </c>
      <c r="B1503" s="34" t="s">
        <v>165</v>
      </c>
      <c r="C1503" t="s">
        <v>271</v>
      </c>
      <c r="D1503" t="s">
        <v>167</v>
      </c>
      <c r="E1503" t="s">
        <v>215</v>
      </c>
      <c r="F1503" t="s">
        <v>241</v>
      </c>
      <c r="G1503" t="s">
        <v>169</v>
      </c>
      <c r="H1503">
        <v>277</v>
      </c>
      <c r="I1503" s="34">
        <f>+POWER_Regional_Daily_20150101_20190305_c11b3312[[#This Row],[Column8]]/100</f>
        <v>2.77</v>
      </c>
      <c r="J1503" s="34"/>
    </row>
    <row r="1504" spans="1:10" x14ac:dyDescent="0.25">
      <c r="A1504" s="34" t="s">
        <v>164</v>
      </c>
      <c r="B1504" s="34" t="s">
        <v>165</v>
      </c>
      <c r="C1504" t="s">
        <v>271</v>
      </c>
      <c r="D1504" t="s">
        <v>167</v>
      </c>
      <c r="E1504" t="s">
        <v>217</v>
      </c>
      <c r="F1504" t="s">
        <v>231</v>
      </c>
      <c r="G1504" t="s">
        <v>169</v>
      </c>
      <c r="H1504">
        <v>462</v>
      </c>
      <c r="I1504" s="34">
        <f>+POWER_Regional_Daily_20150101_20190305_c11b3312[[#This Row],[Column8]]/100</f>
        <v>4.62</v>
      </c>
      <c r="J1504" s="34"/>
    </row>
    <row r="1505" spans="1:10" x14ac:dyDescent="0.25">
      <c r="A1505" s="34" t="s">
        <v>164</v>
      </c>
      <c r="B1505" s="34" t="s">
        <v>165</v>
      </c>
      <c r="C1505" t="s">
        <v>271</v>
      </c>
      <c r="D1505" t="s">
        <v>167</v>
      </c>
      <c r="E1505" t="s">
        <v>219</v>
      </c>
      <c r="F1505" t="s">
        <v>222</v>
      </c>
      <c r="G1505" t="s">
        <v>169</v>
      </c>
      <c r="H1505">
        <v>524</v>
      </c>
      <c r="I1505" s="34">
        <f>+POWER_Regional_Daily_20150101_20190305_c11b3312[[#This Row],[Column8]]/100</f>
        <v>5.24</v>
      </c>
      <c r="J1505" s="34"/>
    </row>
    <row r="1506" spans="1:10" x14ac:dyDescent="0.25">
      <c r="A1506" s="34" t="s">
        <v>164</v>
      </c>
      <c r="B1506" s="34" t="s">
        <v>165</v>
      </c>
      <c r="C1506" t="s">
        <v>271</v>
      </c>
      <c r="D1506" t="s">
        <v>167</v>
      </c>
      <c r="E1506" t="s">
        <v>220</v>
      </c>
      <c r="F1506" t="s">
        <v>230</v>
      </c>
      <c r="G1506" t="s">
        <v>169</v>
      </c>
      <c r="H1506">
        <v>357</v>
      </c>
      <c r="I1506" s="34">
        <f>+POWER_Regional_Daily_20150101_20190305_c11b3312[[#This Row],[Column8]]/100</f>
        <v>3.57</v>
      </c>
      <c r="J1506" s="34"/>
    </row>
    <row r="1507" spans="1:10" x14ac:dyDescent="0.25">
      <c r="A1507" s="34" t="s">
        <v>164</v>
      </c>
      <c r="B1507" s="34" t="s">
        <v>165</v>
      </c>
      <c r="C1507" t="s">
        <v>271</v>
      </c>
      <c r="D1507" t="s">
        <v>170</v>
      </c>
      <c r="E1507" t="s">
        <v>167</v>
      </c>
      <c r="F1507" t="s">
        <v>221</v>
      </c>
      <c r="G1507" t="s">
        <v>169</v>
      </c>
      <c r="H1507">
        <v>397</v>
      </c>
      <c r="I1507" s="34">
        <f>+POWER_Regional_Daily_20150101_20190305_c11b3312[[#This Row],[Column8]]/100</f>
        <v>3.97</v>
      </c>
      <c r="J1507" s="34"/>
    </row>
    <row r="1508" spans="1:10" x14ac:dyDescent="0.25">
      <c r="A1508" s="34" t="s">
        <v>164</v>
      </c>
      <c r="B1508" s="34" t="s">
        <v>165</v>
      </c>
      <c r="C1508" t="s">
        <v>271</v>
      </c>
      <c r="D1508" t="s">
        <v>170</v>
      </c>
      <c r="E1508" t="s">
        <v>170</v>
      </c>
      <c r="F1508" t="s">
        <v>233</v>
      </c>
      <c r="G1508" t="s">
        <v>169</v>
      </c>
      <c r="H1508">
        <v>449</v>
      </c>
      <c r="I1508" s="34">
        <f>+POWER_Regional_Daily_20150101_20190305_c11b3312[[#This Row],[Column8]]/100</f>
        <v>4.49</v>
      </c>
      <c r="J1508" s="34"/>
    </row>
    <row r="1509" spans="1:10" x14ac:dyDescent="0.25">
      <c r="A1509" s="34" t="s">
        <v>164</v>
      </c>
      <c r="B1509" s="34" t="s">
        <v>165</v>
      </c>
      <c r="C1509" t="s">
        <v>271</v>
      </c>
      <c r="D1509" t="s">
        <v>170</v>
      </c>
      <c r="E1509" t="s">
        <v>172</v>
      </c>
      <c r="F1509" t="s">
        <v>181</v>
      </c>
      <c r="G1509" t="s">
        <v>169</v>
      </c>
      <c r="H1509">
        <v>549</v>
      </c>
      <c r="I1509" s="34">
        <f>+POWER_Regional_Daily_20150101_20190305_c11b3312[[#This Row],[Column8]]/100</f>
        <v>5.49</v>
      </c>
      <c r="J1509" s="34"/>
    </row>
    <row r="1510" spans="1:10" x14ac:dyDescent="0.25">
      <c r="A1510" s="34" t="s">
        <v>164</v>
      </c>
      <c r="B1510" s="34" t="s">
        <v>165</v>
      </c>
      <c r="C1510" t="s">
        <v>271</v>
      </c>
      <c r="D1510" t="s">
        <v>170</v>
      </c>
      <c r="E1510" t="s">
        <v>174</v>
      </c>
      <c r="F1510" t="s">
        <v>183</v>
      </c>
      <c r="G1510" t="s">
        <v>169</v>
      </c>
      <c r="H1510">
        <v>562</v>
      </c>
      <c r="I1510" s="34">
        <f>+POWER_Regional_Daily_20150101_20190305_c11b3312[[#This Row],[Column8]]/100</f>
        <v>5.62</v>
      </c>
      <c r="J1510" s="34"/>
    </row>
    <row r="1511" spans="1:10" x14ac:dyDescent="0.25">
      <c r="A1511" s="34" t="s">
        <v>164</v>
      </c>
      <c r="B1511" s="34" t="s">
        <v>165</v>
      </c>
      <c r="C1511" t="s">
        <v>271</v>
      </c>
      <c r="D1511" t="s">
        <v>170</v>
      </c>
      <c r="E1511" t="s">
        <v>175</v>
      </c>
      <c r="F1511" t="s">
        <v>223</v>
      </c>
      <c r="G1511" t="s">
        <v>169</v>
      </c>
      <c r="H1511">
        <v>478</v>
      </c>
      <c r="I1511" s="34">
        <f>+POWER_Regional_Daily_20150101_20190305_c11b3312[[#This Row],[Column8]]/100</f>
        <v>4.78</v>
      </c>
      <c r="J1511" s="34"/>
    </row>
    <row r="1512" spans="1:10" x14ac:dyDescent="0.25">
      <c r="A1512" s="34" t="s">
        <v>164</v>
      </c>
      <c r="B1512" s="34" t="s">
        <v>165</v>
      </c>
      <c r="C1512" t="s">
        <v>271</v>
      </c>
      <c r="D1512" t="s">
        <v>170</v>
      </c>
      <c r="E1512" t="s">
        <v>177</v>
      </c>
      <c r="F1512" t="s">
        <v>233</v>
      </c>
      <c r="G1512" t="s">
        <v>169</v>
      </c>
      <c r="H1512">
        <v>455</v>
      </c>
      <c r="I1512" s="34">
        <f>+POWER_Regional_Daily_20150101_20190305_c11b3312[[#This Row],[Column8]]/100</f>
        <v>4.55</v>
      </c>
      <c r="J1512" s="34"/>
    </row>
    <row r="1513" spans="1:10" x14ac:dyDescent="0.25">
      <c r="A1513" s="34" t="s">
        <v>164</v>
      </c>
      <c r="B1513" s="34" t="s">
        <v>165</v>
      </c>
      <c r="C1513" t="s">
        <v>271</v>
      </c>
      <c r="D1513" t="s">
        <v>170</v>
      </c>
      <c r="E1513" t="s">
        <v>178</v>
      </c>
      <c r="F1513" t="s">
        <v>187</v>
      </c>
      <c r="G1513" t="s">
        <v>169</v>
      </c>
      <c r="H1513">
        <v>-999</v>
      </c>
      <c r="I1513" s="34">
        <f>+POWER_Regional_Daily_20150101_20190305_c11b3312[[#This Row],[Column8]]/100</f>
        <v>-9.99</v>
      </c>
      <c r="J1513" s="34"/>
    </row>
    <row r="1514" spans="1:10" x14ac:dyDescent="0.25">
      <c r="A1514" s="34" t="s">
        <v>164</v>
      </c>
      <c r="B1514" s="34" t="s">
        <v>165</v>
      </c>
      <c r="C1514" t="s">
        <v>271</v>
      </c>
      <c r="D1514" t="s">
        <v>170</v>
      </c>
      <c r="E1514" t="s">
        <v>180</v>
      </c>
      <c r="F1514" t="s">
        <v>193</v>
      </c>
      <c r="G1514" t="s">
        <v>169</v>
      </c>
      <c r="H1514">
        <v>397</v>
      </c>
      <c r="I1514" s="34">
        <f>+POWER_Regional_Daily_20150101_20190305_c11b3312[[#This Row],[Column8]]/100</f>
        <v>3.97</v>
      </c>
      <c r="J1514" s="34"/>
    </row>
    <row r="1515" spans="1:10" x14ac:dyDescent="0.25">
      <c r="A1515" s="34" t="s">
        <v>164</v>
      </c>
      <c r="B1515" s="34" t="s">
        <v>165</v>
      </c>
      <c r="C1515" t="s">
        <v>271</v>
      </c>
      <c r="D1515" t="s">
        <v>170</v>
      </c>
      <c r="E1515" t="s">
        <v>182</v>
      </c>
      <c r="F1515" t="s">
        <v>230</v>
      </c>
      <c r="G1515" t="s">
        <v>169</v>
      </c>
      <c r="H1515">
        <v>365</v>
      </c>
      <c r="I1515" s="34">
        <f>+POWER_Regional_Daily_20150101_20190305_c11b3312[[#This Row],[Column8]]/100</f>
        <v>3.65</v>
      </c>
      <c r="J1515" s="34"/>
    </row>
    <row r="1516" spans="1:10" x14ac:dyDescent="0.25">
      <c r="A1516" s="34" t="s">
        <v>164</v>
      </c>
      <c r="B1516" s="34" t="s">
        <v>165</v>
      </c>
      <c r="C1516" t="s">
        <v>271</v>
      </c>
      <c r="D1516" t="s">
        <v>170</v>
      </c>
      <c r="E1516" t="s">
        <v>184</v>
      </c>
      <c r="F1516" t="s">
        <v>197</v>
      </c>
      <c r="G1516" t="s">
        <v>169</v>
      </c>
      <c r="H1516">
        <v>432</v>
      </c>
      <c r="I1516" s="34">
        <f>+POWER_Regional_Daily_20150101_20190305_c11b3312[[#This Row],[Column8]]/100</f>
        <v>4.32</v>
      </c>
      <c r="J1516" s="34"/>
    </row>
    <row r="1517" spans="1:10" x14ac:dyDescent="0.25">
      <c r="A1517" s="34" t="s">
        <v>164</v>
      </c>
      <c r="B1517" s="34" t="s">
        <v>165</v>
      </c>
      <c r="C1517" t="s">
        <v>271</v>
      </c>
      <c r="D1517" t="s">
        <v>170</v>
      </c>
      <c r="E1517" t="s">
        <v>186</v>
      </c>
      <c r="F1517" t="s">
        <v>209</v>
      </c>
      <c r="G1517" t="s">
        <v>169</v>
      </c>
      <c r="H1517">
        <v>511</v>
      </c>
      <c r="I1517" s="34">
        <f>+POWER_Regional_Daily_20150101_20190305_c11b3312[[#This Row],[Column8]]/100</f>
        <v>5.1100000000000003</v>
      </c>
      <c r="J1517" s="34"/>
    </row>
    <row r="1518" spans="1:10" x14ac:dyDescent="0.25">
      <c r="A1518" s="34" t="s">
        <v>164</v>
      </c>
      <c r="B1518" s="34" t="s">
        <v>165</v>
      </c>
      <c r="C1518" t="s">
        <v>271</v>
      </c>
      <c r="D1518" t="s">
        <v>170</v>
      </c>
      <c r="E1518" t="s">
        <v>188</v>
      </c>
      <c r="F1518" t="s">
        <v>201</v>
      </c>
      <c r="G1518" t="s">
        <v>169</v>
      </c>
      <c r="H1518">
        <v>525</v>
      </c>
      <c r="I1518" s="34">
        <f>+POWER_Regional_Daily_20150101_20190305_c11b3312[[#This Row],[Column8]]/100</f>
        <v>5.25</v>
      </c>
      <c r="J1518" s="34"/>
    </row>
    <row r="1519" spans="1:10" x14ac:dyDescent="0.25">
      <c r="A1519" s="34" t="s">
        <v>164</v>
      </c>
      <c r="B1519" s="34" t="s">
        <v>165</v>
      </c>
      <c r="C1519" t="s">
        <v>271</v>
      </c>
      <c r="D1519" t="s">
        <v>170</v>
      </c>
      <c r="E1519" t="s">
        <v>190</v>
      </c>
      <c r="F1519" t="s">
        <v>201</v>
      </c>
      <c r="G1519" t="s">
        <v>169</v>
      </c>
      <c r="H1519">
        <v>534</v>
      </c>
      <c r="I1519" s="34">
        <f>+POWER_Regional_Daily_20150101_20190305_c11b3312[[#This Row],[Column8]]/100</f>
        <v>5.34</v>
      </c>
      <c r="J1519" s="34"/>
    </row>
    <row r="1520" spans="1:10" x14ac:dyDescent="0.25">
      <c r="A1520" s="34" t="s">
        <v>164</v>
      </c>
      <c r="B1520" s="34" t="s">
        <v>165</v>
      </c>
      <c r="C1520" t="s">
        <v>271</v>
      </c>
      <c r="D1520" t="s">
        <v>170</v>
      </c>
      <c r="E1520" t="s">
        <v>192</v>
      </c>
      <c r="F1520" t="s">
        <v>213</v>
      </c>
      <c r="G1520" t="s">
        <v>169</v>
      </c>
      <c r="H1520">
        <v>546</v>
      </c>
      <c r="I1520" s="34">
        <f>+POWER_Regional_Daily_20150101_20190305_c11b3312[[#This Row],[Column8]]/100</f>
        <v>5.46</v>
      </c>
      <c r="J1520" s="34"/>
    </row>
    <row r="1521" spans="1:10" x14ac:dyDescent="0.25">
      <c r="A1521" s="34" t="s">
        <v>164</v>
      </c>
      <c r="B1521" s="34" t="s">
        <v>165</v>
      </c>
      <c r="C1521" t="s">
        <v>271</v>
      </c>
      <c r="D1521" t="s">
        <v>170</v>
      </c>
      <c r="E1521" t="s">
        <v>194</v>
      </c>
      <c r="F1521" t="s">
        <v>185</v>
      </c>
      <c r="G1521" t="s">
        <v>270</v>
      </c>
      <c r="H1521">
        <v>612</v>
      </c>
      <c r="I1521" s="34">
        <f>+POWER_Regional_Daily_20150101_20190305_c11b3312[[#This Row],[Column8]]/100</f>
        <v>6.12</v>
      </c>
      <c r="J1521" s="34"/>
    </row>
    <row r="1522" spans="1:10" x14ac:dyDescent="0.25">
      <c r="A1522" s="34" t="s">
        <v>164</v>
      </c>
      <c r="B1522" s="34" t="s">
        <v>165</v>
      </c>
      <c r="C1522" t="s">
        <v>271</v>
      </c>
      <c r="D1522" t="s">
        <v>170</v>
      </c>
      <c r="E1522" t="s">
        <v>196</v>
      </c>
      <c r="F1522" t="s">
        <v>195</v>
      </c>
      <c r="G1522" t="s">
        <v>169</v>
      </c>
      <c r="H1522">
        <v>473</v>
      </c>
      <c r="I1522" s="34">
        <f>+POWER_Regional_Daily_20150101_20190305_c11b3312[[#This Row],[Column8]]/100</f>
        <v>4.7300000000000004</v>
      </c>
      <c r="J1522" s="34"/>
    </row>
    <row r="1523" spans="1:10" x14ac:dyDescent="0.25">
      <c r="A1523" s="34" t="s">
        <v>164</v>
      </c>
      <c r="B1523" s="34" t="s">
        <v>165</v>
      </c>
      <c r="C1523" t="s">
        <v>271</v>
      </c>
      <c r="D1523" t="s">
        <v>170</v>
      </c>
      <c r="E1523" t="s">
        <v>198</v>
      </c>
      <c r="F1523" t="s">
        <v>216</v>
      </c>
      <c r="G1523" t="s">
        <v>169</v>
      </c>
      <c r="H1523">
        <v>325</v>
      </c>
      <c r="I1523" s="34">
        <f>+POWER_Regional_Daily_20150101_20190305_c11b3312[[#This Row],[Column8]]/100</f>
        <v>3.25</v>
      </c>
      <c r="J1523" s="34"/>
    </row>
    <row r="1524" spans="1:10" x14ac:dyDescent="0.25">
      <c r="A1524" s="34" t="s">
        <v>164</v>
      </c>
      <c r="B1524" s="34" t="s">
        <v>165</v>
      </c>
      <c r="C1524" t="s">
        <v>271</v>
      </c>
      <c r="D1524" t="s">
        <v>170</v>
      </c>
      <c r="E1524" t="s">
        <v>199</v>
      </c>
      <c r="F1524" t="s">
        <v>229</v>
      </c>
      <c r="G1524" t="s">
        <v>169</v>
      </c>
      <c r="H1524">
        <v>356</v>
      </c>
      <c r="I1524" s="34">
        <f>+POWER_Regional_Daily_20150101_20190305_c11b3312[[#This Row],[Column8]]/100</f>
        <v>3.56</v>
      </c>
      <c r="J1524" s="34"/>
    </row>
    <row r="1525" spans="1:10" x14ac:dyDescent="0.25">
      <c r="A1525" s="34" t="s">
        <v>164</v>
      </c>
      <c r="B1525" s="34" t="s">
        <v>165</v>
      </c>
      <c r="C1525" t="s">
        <v>271</v>
      </c>
      <c r="D1525" t="s">
        <v>170</v>
      </c>
      <c r="E1525" t="s">
        <v>200</v>
      </c>
      <c r="F1525" t="s">
        <v>252</v>
      </c>
      <c r="G1525" t="s">
        <v>169</v>
      </c>
      <c r="H1525">
        <v>245</v>
      </c>
      <c r="I1525" s="34">
        <f>+POWER_Regional_Daily_20150101_20190305_c11b3312[[#This Row],[Column8]]/100</f>
        <v>2.4500000000000002</v>
      </c>
      <c r="J1525" s="34"/>
    </row>
    <row r="1526" spans="1:10" x14ac:dyDescent="0.25">
      <c r="A1526" s="34" t="s">
        <v>164</v>
      </c>
      <c r="B1526" s="34" t="s">
        <v>165</v>
      </c>
      <c r="C1526" t="s">
        <v>271</v>
      </c>
      <c r="D1526" t="s">
        <v>170</v>
      </c>
      <c r="E1526" t="s">
        <v>202</v>
      </c>
      <c r="F1526" t="s">
        <v>204</v>
      </c>
      <c r="G1526" t="s">
        <v>169</v>
      </c>
      <c r="H1526">
        <v>430</v>
      </c>
      <c r="I1526" s="34">
        <f>+POWER_Regional_Daily_20150101_20190305_c11b3312[[#This Row],[Column8]]/100</f>
        <v>4.3</v>
      </c>
      <c r="J1526" s="34"/>
    </row>
    <row r="1527" spans="1:10" x14ac:dyDescent="0.25">
      <c r="A1527" s="34" t="s">
        <v>164</v>
      </c>
      <c r="B1527" s="34" t="s">
        <v>165</v>
      </c>
      <c r="C1527" t="s">
        <v>271</v>
      </c>
      <c r="D1527" t="s">
        <v>170</v>
      </c>
      <c r="E1527" t="s">
        <v>203</v>
      </c>
      <c r="F1527" t="s">
        <v>222</v>
      </c>
      <c r="G1527" t="s">
        <v>169</v>
      </c>
      <c r="H1527">
        <v>552</v>
      </c>
      <c r="I1527" s="34">
        <f>+POWER_Regional_Daily_20150101_20190305_c11b3312[[#This Row],[Column8]]/100</f>
        <v>5.52</v>
      </c>
      <c r="J1527" s="34"/>
    </row>
    <row r="1528" spans="1:10" x14ac:dyDescent="0.25">
      <c r="A1528" s="34" t="s">
        <v>164</v>
      </c>
      <c r="B1528" s="34" t="s">
        <v>165</v>
      </c>
      <c r="C1528" t="s">
        <v>271</v>
      </c>
      <c r="D1528" t="s">
        <v>170</v>
      </c>
      <c r="E1528" t="s">
        <v>205</v>
      </c>
      <c r="F1528" t="s">
        <v>189</v>
      </c>
      <c r="G1528" t="s">
        <v>169</v>
      </c>
      <c r="H1528">
        <v>601</v>
      </c>
      <c r="I1528" s="34">
        <f>+POWER_Regional_Daily_20150101_20190305_c11b3312[[#This Row],[Column8]]/100</f>
        <v>6.01</v>
      </c>
      <c r="J1528" s="34"/>
    </row>
    <row r="1529" spans="1:10" x14ac:dyDescent="0.25">
      <c r="A1529" s="34" t="s">
        <v>164</v>
      </c>
      <c r="B1529" s="34" t="s">
        <v>165</v>
      </c>
      <c r="C1529" t="s">
        <v>271</v>
      </c>
      <c r="D1529" t="s">
        <v>170</v>
      </c>
      <c r="E1529" t="s">
        <v>207</v>
      </c>
      <c r="F1529" t="s">
        <v>187</v>
      </c>
      <c r="G1529" t="s">
        <v>169</v>
      </c>
      <c r="H1529">
        <v>-999</v>
      </c>
      <c r="I1529" s="34">
        <f>+POWER_Regional_Daily_20150101_20190305_c11b3312[[#This Row],[Column8]]/100</f>
        <v>-9.99</v>
      </c>
      <c r="J1529" s="34"/>
    </row>
    <row r="1530" spans="1:10" x14ac:dyDescent="0.25">
      <c r="A1530" s="34" t="s">
        <v>164</v>
      </c>
      <c r="B1530" s="34" t="s">
        <v>165</v>
      </c>
      <c r="C1530" t="s">
        <v>271</v>
      </c>
      <c r="D1530" t="s">
        <v>170</v>
      </c>
      <c r="E1530" t="s">
        <v>208</v>
      </c>
      <c r="F1530" t="s">
        <v>233</v>
      </c>
      <c r="G1530" t="s">
        <v>169</v>
      </c>
      <c r="H1530">
        <v>464</v>
      </c>
      <c r="I1530" s="34">
        <f>+POWER_Regional_Daily_20150101_20190305_c11b3312[[#This Row],[Column8]]/100</f>
        <v>4.6399999999999997</v>
      </c>
      <c r="J1530" s="34"/>
    </row>
    <row r="1531" spans="1:10" x14ac:dyDescent="0.25">
      <c r="A1531" s="34" t="s">
        <v>164</v>
      </c>
      <c r="B1531" s="34" t="s">
        <v>165</v>
      </c>
      <c r="C1531" t="s">
        <v>271</v>
      </c>
      <c r="D1531" t="s">
        <v>170</v>
      </c>
      <c r="E1531" t="s">
        <v>210</v>
      </c>
      <c r="F1531" t="s">
        <v>222</v>
      </c>
      <c r="G1531" t="s">
        <v>169</v>
      </c>
      <c r="H1531">
        <v>546</v>
      </c>
      <c r="I1531" s="34">
        <f>+POWER_Regional_Daily_20150101_20190305_c11b3312[[#This Row],[Column8]]/100</f>
        <v>5.46</v>
      </c>
      <c r="J1531" s="34"/>
    </row>
    <row r="1532" spans="1:10" x14ac:dyDescent="0.25">
      <c r="A1532" s="34" t="s">
        <v>164</v>
      </c>
      <c r="B1532" s="34" t="s">
        <v>165</v>
      </c>
      <c r="C1532" t="s">
        <v>271</v>
      </c>
      <c r="D1532" t="s">
        <v>170</v>
      </c>
      <c r="E1532" t="s">
        <v>212</v>
      </c>
      <c r="F1532" t="s">
        <v>225</v>
      </c>
      <c r="G1532" t="s">
        <v>169</v>
      </c>
      <c r="H1532">
        <v>303</v>
      </c>
      <c r="I1532" s="34">
        <f>+POWER_Regional_Daily_20150101_20190305_c11b3312[[#This Row],[Column8]]/100</f>
        <v>3.03</v>
      </c>
      <c r="J1532" s="34"/>
    </row>
    <row r="1533" spans="1:10" x14ac:dyDescent="0.25">
      <c r="A1533" s="34" t="s">
        <v>164</v>
      </c>
      <c r="B1533" s="34" t="s">
        <v>165</v>
      </c>
      <c r="C1533" t="s">
        <v>271</v>
      </c>
      <c r="D1533" t="s">
        <v>170</v>
      </c>
      <c r="E1533" t="s">
        <v>214</v>
      </c>
      <c r="F1533" t="s">
        <v>227</v>
      </c>
      <c r="G1533" t="s">
        <v>169</v>
      </c>
      <c r="H1533">
        <v>340</v>
      </c>
      <c r="I1533" s="34">
        <f>+POWER_Regional_Daily_20150101_20190305_c11b3312[[#This Row],[Column8]]/100</f>
        <v>3.4</v>
      </c>
      <c r="J1533" s="34"/>
    </row>
    <row r="1534" spans="1:10" x14ac:dyDescent="0.25">
      <c r="A1534" s="34" t="s">
        <v>164</v>
      </c>
      <c r="B1534" s="34" t="s">
        <v>165</v>
      </c>
      <c r="C1534" t="s">
        <v>271</v>
      </c>
      <c r="D1534" t="s">
        <v>170</v>
      </c>
      <c r="E1534" t="s">
        <v>215</v>
      </c>
      <c r="F1534" t="s">
        <v>235</v>
      </c>
      <c r="G1534" t="s">
        <v>169</v>
      </c>
      <c r="H1534">
        <v>509</v>
      </c>
      <c r="I1534" s="34">
        <f>+POWER_Regional_Daily_20150101_20190305_c11b3312[[#This Row],[Column8]]/100</f>
        <v>5.09</v>
      </c>
      <c r="J1534" s="34"/>
    </row>
    <row r="1535" spans="1:10" x14ac:dyDescent="0.25">
      <c r="A1535" s="34" t="s">
        <v>164</v>
      </c>
      <c r="B1535" s="34" t="s">
        <v>165</v>
      </c>
      <c r="C1535" t="s">
        <v>271</v>
      </c>
      <c r="D1535" t="s">
        <v>172</v>
      </c>
      <c r="E1535" t="s">
        <v>167</v>
      </c>
      <c r="F1535" t="s">
        <v>197</v>
      </c>
      <c r="G1535" t="s">
        <v>169</v>
      </c>
      <c r="H1535">
        <v>452</v>
      </c>
      <c r="I1535" s="34">
        <f>+POWER_Regional_Daily_20150101_20190305_c11b3312[[#This Row],[Column8]]/100</f>
        <v>4.5199999999999996</v>
      </c>
      <c r="J1535" s="34"/>
    </row>
    <row r="1536" spans="1:10" x14ac:dyDescent="0.25">
      <c r="A1536" s="34" t="s">
        <v>164</v>
      </c>
      <c r="B1536" s="34" t="s">
        <v>165</v>
      </c>
      <c r="C1536" t="s">
        <v>271</v>
      </c>
      <c r="D1536" t="s">
        <v>172</v>
      </c>
      <c r="E1536" t="s">
        <v>170</v>
      </c>
      <c r="F1536" t="s">
        <v>230</v>
      </c>
      <c r="G1536" t="s">
        <v>169</v>
      </c>
      <c r="H1536">
        <v>382</v>
      </c>
      <c r="I1536" s="34">
        <f>+POWER_Regional_Daily_20150101_20190305_c11b3312[[#This Row],[Column8]]/100</f>
        <v>3.82</v>
      </c>
      <c r="J1536" s="34"/>
    </row>
    <row r="1537" spans="1:10" x14ac:dyDescent="0.25">
      <c r="A1537" s="34" t="s">
        <v>164</v>
      </c>
      <c r="B1537" s="34" t="s">
        <v>165</v>
      </c>
      <c r="C1537" t="s">
        <v>271</v>
      </c>
      <c r="D1537" t="s">
        <v>172</v>
      </c>
      <c r="E1537" t="s">
        <v>172</v>
      </c>
      <c r="F1537" t="s">
        <v>201</v>
      </c>
      <c r="G1537" t="s">
        <v>169</v>
      </c>
      <c r="H1537">
        <v>544</v>
      </c>
      <c r="I1537" s="34">
        <f>+POWER_Regional_Daily_20150101_20190305_c11b3312[[#This Row],[Column8]]/100</f>
        <v>5.44</v>
      </c>
      <c r="J1537" s="34"/>
    </row>
    <row r="1538" spans="1:10" x14ac:dyDescent="0.25">
      <c r="A1538" s="34" t="s">
        <v>164</v>
      </c>
      <c r="B1538" s="34" t="s">
        <v>165</v>
      </c>
      <c r="C1538" t="s">
        <v>271</v>
      </c>
      <c r="D1538" t="s">
        <v>172</v>
      </c>
      <c r="E1538" t="s">
        <v>174</v>
      </c>
      <c r="F1538" t="s">
        <v>227</v>
      </c>
      <c r="G1538" t="s">
        <v>169</v>
      </c>
      <c r="H1538">
        <v>338</v>
      </c>
      <c r="I1538" s="34">
        <f>+POWER_Regional_Daily_20150101_20190305_c11b3312[[#This Row],[Column8]]/100</f>
        <v>3.38</v>
      </c>
      <c r="J1538" s="34"/>
    </row>
    <row r="1539" spans="1:10" x14ac:dyDescent="0.25">
      <c r="A1539" s="34" t="s">
        <v>164</v>
      </c>
      <c r="B1539" s="34" t="s">
        <v>165</v>
      </c>
      <c r="C1539" t="s">
        <v>271</v>
      </c>
      <c r="D1539" t="s">
        <v>172</v>
      </c>
      <c r="E1539" t="s">
        <v>175</v>
      </c>
      <c r="F1539" t="s">
        <v>221</v>
      </c>
      <c r="G1539" t="s">
        <v>169</v>
      </c>
      <c r="H1539">
        <v>424</v>
      </c>
      <c r="I1539" s="34">
        <f>+POWER_Regional_Daily_20150101_20190305_c11b3312[[#This Row],[Column8]]/100</f>
        <v>4.24</v>
      </c>
      <c r="J1539" s="34"/>
    </row>
    <row r="1540" spans="1:10" x14ac:dyDescent="0.25">
      <c r="A1540" s="34"/>
      <c r="B1540" s="34"/>
      <c r="C1540" t="s">
        <v>271</v>
      </c>
      <c r="D1540" t="s">
        <v>172</v>
      </c>
      <c r="E1540" t="s">
        <v>177</v>
      </c>
      <c r="F1540" t="s">
        <v>195</v>
      </c>
      <c r="G1540" t="s">
        <v>169</v>
      </c>
      <c r="H1540">
        <v>490</v>
      </c>
      <c r="I1540" s="34">
        <f>+POWER_Regional_Daily_20150101_20190305_c11b3312[[#This Row],[Column8]]/100</f>
        <v>4.9000000000000004</v>
      </c>
      <c r="J1540" s="34"/>
    </row>
    <row r="1541" spans="1:10" x14ac:dyDescent="0.25">
      <c r="A1541" s="34"/>
      <c r="B1541" s="34"/>
      <c r="C1541" t="s">
        <v>271</v>
      </c>
      <c r="D1541" t="s">
        <v>172</v>
      </c>
      <c r="E1541" t="s">
        <v>178</v>
      </c>
      <c r="F1541" t="s">
        <v>243</v>
      </c>
      <c r="G1541" t="s">
        <v>169</v>
      </c>
      <c r="H1541">
        <v>316</v>
      </c>
      <c r="I1541" s="34">
        <f>+POWER_Regional_Daily_20150101_20190305_c11b3312[[#This Row],[Column8]]/100</f>
        <v>3.16</v>
      </c>
      <c r="J1541" s="34"/>
    </row>
    <row r="1542" spans="1:10" x14ac:dyDescent="0.25">
      <c r="A1542" s="34"/>
      <c r="B1542" s="34"/>
      <c r="C1542" t="s">
        <v>271</v>
      </c>
      <c r="D1542" t="s">
        <v>172</v>
      </c>
      <c r="E1542" t="s">
        <v>180</v>
      </c>
      <c r="F1542" t="s">
        <v>231</v>
      </c>
      <c r="G1542" t="s">
        <v>169</v>
      </c>
      <c r="H1542">
        <v>497</v>
      </c>
      <c r="I1542" s="34">
        <f>+POWER_Regional_Daily_20150101_20190305_c11b3312[[#This Row],[Column8]]/100</f>
        <v>4.97</v>
      </c>
      <c r="J1542" s="34"/>
    </row>
    <row r="1543" spans="1:10" x14ac:dyDescent="0.25">
      <c r="A1543" s="34"/>
      <c r="B1543" s="34"/>
      <c r="C1543" t="s">
        <v>271</v>
      </c>
      <c r="D1543" t="s">
        <v>172</v>
      </c>
      <c r="E1543" t="s">
        <v>182</v>
      </c>
      <c r="F1543" t="s">
        <v>181</v>
      </c>
      <c r="G1543" t="s">
        <v>169</v>
      </c>
      <c r="H1543">
        <v>584</v>
      </c>
      <c r="I1543" s="34">
        <f>+POWER_Regional_Daily_20150101_20190305_c11b3312[[#This Row],[Column8]]/100</f>
        <v>5.84</v>
      </c>
      <c r="J1543" s="34"/>
    </row>
    <row r="1544" spans="1:10" x14ac:dyDescent="0.25">
      <c r="A1544" s="34"/>
      <c r="B1544" s="34"/>
      <c r="C1544" t="s">
        <v>271</v>
      </c>
      <c r="D1544" t="s">
        <v>172</v>
      </c>
      <c r="E1544" t="s">
        <v>184</v>
      </c>
      <c r="F1544" t="s">
        <v>221</v>
      </c>
      <c r="G1544" t="s">
        <v>169</v>
      </c>
      <c r="H1544">
        <v>425</v>
      </c>
      <c r="I1544" s="34">
        <f>+POWER_Regional_Daily_20150101_20190305_c11b3312[[#This Row],[Column8]]/100</f>
        <v>4.25</v>
      </c>
      <c r="J1544" s="34"/>
    </row>
    <row r="1545" spans="1:10" x14ac:dyDescent="0.25">
      <c r="A1545" s="34"/>
      <c r="B1545" s="34"/>
      <c r="C1545" t="s">
        <v>271</v>
      </c>
      <c r="D1545" t="s">
        <v>172</v>
      </c>
      <c r="E1545" t="s">
        <v>186</v>
      </c>
      <c r="F1545" t="s">
        <v>187</v>
      </c>
      <c r="G1545" t="s">
        <v>169</v>
      </c>
      <c r="H1545">
        <v>-999</v>
      </c>
      <c r="I1545" s="34">
        <f>+POWER_Regional_Daily_20150101_20190305_c11b3312[[#This Row],[Column8]]/100</f>
        <v>-9.99</v>
      </c>
      <c r="J1545" s="34"/>
    </row>
    <row r="1546" spans="1:10" x14ac:dyDescent="0.25">
      <c r="A1546" s="34"/>
      <c r="B1546" s="34"/>
      <c r="C1546" t="s">
        <v>271</v>
      </c>
      <c r="D1546" t="s">
        <v>172</v>
      </c>
      <c r="E1546" t="s">
        <v>188</v>
      </c>
      <c r="F1546" t="s">
        <v>231</v>
      </c>
      <c r="G1546" t="s">
        <v>169</v>
      </c>
      <c r="H1546">
        <v>503</v>
      </c>
      <c r="I1546" s="34">
        <f>+POWER_Regional_Daily_20150101_20190305_c11b3312[[#This Row],[Column8]]/100</f>
        <v>5.03</v>
      </c>
      <c r="J1546" s="34"/>
    </row>
    <row r="1547" spans="1:10" x14ac:dyDescent="0.25">
      <c r="A1547" s="34"/>
      <c r="B1547" s="34"/>
      <c r="C1547" t="s">
        <v>271</v>
      </c>
      <c r="D1547" t="s">
        <v>172</v>
      </c>
      <c r="E1547" t="s">
        <v>190</v>
      </c>
      <c r="F1547" t="s">
        <v>181</v>
      </c>
      <c r="G1547" t="s">
        <v>169</v>
      </c>
      <c r="H1547">
        <v>586</v>
      </c>
      <c r="I1547" s="34">
        <f>+POWER_Regional_Daily_20150101_20190305_c11b3312[[#This Row],[Column8]]/100</f>
        <v>5.86</v>
      </c>
      <c r="J1547" s="34"/>
    </row>
    <row r="1548" spans="1:10" x14ac:dyDescent="0.25">
      <c r="A1548" s="34"/>
      <c r="B1548" s="34"/>
      <c r="C1548" t="s">
        <v>271</v>
      </c>
      <c r="D1548" t="s">
        <v>172</v>
      </c>
      <c r="E1548" t="s">
        <v>192</v>
      </c>
      <c r="F1548" t="s">
        <v>229</v>
      </c>
      <c r="G1548" t="s">
        <v>169</v>
      </c>
      <c r="H1548">
        <v>364</v>
      </c>
      <c r="I1548" s="34">
        <f>+POWER_Regional_Daily_20150101_20190305_c11b3312[[#This Row],[Column8]]/100</f>
        <v>3.64</v>
      </c>
      <c r="J1548" s="34"/>
    </row>
    <row r="1549" spans="1:10" x14ac:dyDescent="0.25">
      <c r="A1549" s="34"/>
      <c r="B1549" s="34"/>
      <c r="C1549" t="s">
        <v>271</v>
      </c>
      <c r="D1549" t="s">
        <v>172</v>
      </c>
      <c r="E1549" t="s">
        <v>194</v>
      </c>
      <c r="F1549" t="s">
        <v>195</v>
      </c>
      <c r="G1549" t="s">
        <v>169</v>
      </c>
      <c r="H1549">
        <v>487</v>
      </c>
      <c r="I1549" s="34">
        <f>+POWER_Regional_Daily_20150101_20190305_c11b3312[[#This Row],[Column8]]/100</f>
        <v>4.87</v>
      </c>
      <c r="J1549" s="34"/>
    </row>
    <row r="1550" spans="1:10" x14ac:dyDescent="0.25">
      <c r="A1550" s="34"/>
      <c r="B1550" s="34"/>
      <c r="C1550" t="s">
        <v>271</v>
      </c>
      <c r="D1550" t="s">
        <v>172</v>
      </c>
      <c r="E1550" t="s">
        <v>196</v>
      </c>
      <c r="F1550" t="s">
        <v>236</v>
      </c>
      <c r="G1550" t="s">
        <v>169</v>
      </c>
      <c r="H1550">
        <v>539</v>
      </c>
      <c r="I1550" s="34">
        <f>+POWER_Regional_Daily_20150101_20190305_c11b3312[[#This Row],[Column8]]/100</f>
        <v>5.39</v>
      </c>
      <c r="J1550" s="34"/>
    </row>
    <row r="1551" spans="1:10" x14ac:dyDescent="0.25">
      <c r="A1551" s="34"/>
      <c r="B1551" s="34"/>
      <c r="C1551" t="s">
        <v>271</v>
      </c>
      <c r="D1551" t="s">
        <v>172</v>
      </c>
      <c r="E1551" t="s">
        <v>198</v>
      </c>
      <c r="F1551" t="s">
        <v>230</v>
      </c>
      <c r="G1551" t="s">
        <v>169</v>
      </c>
      <c r="H1551">
        <v>387</v>
      </c>
      <c r="I1551" s="34">
        <f>+POWER_Regional_Daily_20150101_20190305_c11b3312[[#This Row],[Column8]]/100</f>
        <v>3.87</v>
      </c>
      <c r="J1551" s="34"/>
    </row>
    <row r="1552" spans="1:10" x14ac:dyDescent="0.25">
      <c r="A1552" s="34"/>
      <c r="B1552" s="34"/>
      <c r="C1552" t="s">
        <v>271</v>
      </c>
      <c r="D1552" t="s">
        <v>172</v>
      </c>
      <c r="E1552" t="s">
        <v>199</v>
      </c>
      <c r="F1552" t="s">
        <v>227</v>
      </c>
      <c r="G1552" t="s">
        <v>169</v>
      </c>
      <c r="H1552">
        <v>343</v>
      </c>
      <c r="I1552" s="34">
        <f>+POWER_Regional_Daily_20150101_20190305_c11b3312[[#This Row],[Column8]]/100</f>
        <v>3.43</v>
      </c>
      <c r="J1552" s="34"/>
    </row>
    <row r="1553" spans="1:10" x14ac:dyDescent="0.25">
      <c r="A1553" s="34"/>
      <c r="B1553" s="34"/>
      <c r="C1553" t="s">
        <v>271</v>
      </c>
      <c r="D1553" t="s">
        <v>172</v>
      </c>
      <c r="E1553" t="s">
        <v>200</v>
      </c>
      <c r="F1553" t="s">
        <v>237</v>
      </c>
      <c r="G1553" t="s">
        <v>169</v>
      </c>
      <c r="H1553">
        <v>278</v>
      </c>
      <c r="I1553" s="34">
        <f>+POWER_Regional_Daily_20150101_20190305_c11b3312[[#This Row],[Column8]]/100</f>
        <v>2.78</v>
      </c>
      <c r="J1553" s="34"/>
    </row>
    <row r="1554" spans="1:10" x14ac:dyDescent="0.25">
      <c r="A1554" s="34"/>
      <c r="B1554" s="34"/>
      <c r="C1554" t="s">
        <v>271</v>
      </c>
      <c r="D1554" t="s">
        <v>172</v>
      </c>
      <c r="E1554" t="s">
        <v>202</v>
      </c>
      <c r="F1554" t="s">
        <v>201</v>
      </c>
      <c r="G1554" t="s">
        <v>169</v>
      </c>
      <c r="H1554">
        <v>557</v>
      </c>
      <c r="I1554" s="34">
        <f>+POWER_Regional_Daily_20150101_20190305_c11b3312[[#This Row],[Column8]]/100</f>
        <v>5.57</v>
      </c>
      <c r="J1554" s="34"/>
    </row>
    <row r="1555" spans="1:10" x14ac:dyDescent="0.25">
      <c r="A1555" s="34"/>
      <c r="B1555" s="34"/>
      <c r="C1555" t="s">
        <v>271</v>
      </c>
      <c r="D1555" t="s">
        <v>172</v>
      </c>
      <c r="E1555" t="s">
        <v>203</v>
      </c>
      <c r="F1555" t="s">
        <v>241</v>
      </c>
      <c r="G1555" t="s">
        <v>169</v>
      </c>
      <c r="H1555">
        <v>305</v>
      </c>
      <c r="I1555" s="34">
        <f>+POWER_Regional_Daily_20150101_20190305_c11b3312[[#This Row],[Column8]]/100</f>
        <v>3.05</v>
      </c>
      <c r="J1555" s="34"/>
    </row>
    <row r="1556" spans="1:10" x14ac:dyDescent="0.25">
      <c r="A1556" s="34"/>
      <c r="B1556" s="34"/>
      <c r="C1556" t="s">
        <v>271</v>
      </c>
      <c r="D1556" t="s">
        <v>172</v>
      </c>
      <c r="E1556" t="s">
        <v>205</v>
      </c>
      <c r="F1556" t="s">
        <v>243</v>
      </c>
      <c r="G1556" t="s">
        <v>169</v>
      </c>
      <c r="H1556">
        <v>330</v>
      </c>
      <c r="I1556" s="34">
        <f>+POWER_Regional_Daily_20150101_20190305_c11b3312[[#This Row],[Column8]]/100</f>
        <v>3.3</v>
      </c>
      <c r="J1556" s="34"/>
    </row>
    <row r="1557" spans="1:10" x14ac:dyDescent="0.25">
      <c r="A1557" s="34"/>
      <c r="B1557" s="34"/>
      <c r="C1557" t="s">
        <v>271</v>
      </c>
      <c r="D1557" t="s">
        <v>172</v>
      </c>
      <c r="E1557" t="s">
        <v>207</v>
      </c>
      <c r="F1557" t="s">
        <v>230</v>
      </c>
      <c r="G1557" t="s">
        <v>169</v>
      </c>
      <c r="H1557">
        <v>391</v>
      </c>
      <c r="I1557" s="34">
        <f>+POWER_Regional_Daily_20150101_20190305_c11b3312[[#This Row],[Column8]]/100</f>
        <v>3.91</v>
      </c>
      <c r="J1557" s="34"/>
    </row>
    <row r="1558" spans="1:10" x14ac:dyDescent="0.25">
      <c r="A1558" s="34"/>
      <c r="B1558" s="34"/>
      <c r="C1558" t="s">
        <v>271</v>
      </c>
      <c r="D1558" t="s">
        <v>172</v>
      </c>
      <c r="E1558" t="s">
        <v>208</v>
      </c>
      <c r="F1558" t="s">
        <v>256</v>
      </c>
      <c r="G1558" t="s">
        <v>169</v>
      </c>
      <c r="H1558">
        <v>244</v>
      </c>
      <c r="I1558" s="34">
        <f>+POWER_Regional_Daily_20150101_20190305_c11b3312[[#This Row],[Column8]]/100</f>
        <v>2.44</v>
      </c>
      <c r="J1558" s="34"/>
    </row>
    <row r="1559" spans="1:10" x14ac:dyDescent="0.25">
      <c r="A1559" s="34"/>
      <c r="B1559" s="34"/>
      <c r="C1559" t="s">
        <v>271</v>
      </c>
      <c r="D1559" t="s">
        <v>172</v>
      </c>
      <c r="E1559" t="s">
        <v>210</v>
      </c>
      <c r="F1559" t="s">
        <v>209</v>
      </c>
      <c r="G1559" t="s">
        <v>169</v>
      </c>
      <c r="H1559">
        <v>531</v>
      </c>
      <c r="I1559" s="34">
        <f>+POWER_Regional_Daily_20150101_20190305_c11b3312[[#This Row],[Column8]]/100</f>
        <v>5.31</v>
      </c>
      <c r="J1559" s="34"/>
    </row>
    <row r="1560" spans="1:10" x14ac:dyDescent="0.25">
      <c r="A1560" s="34"/>
      <c r="B1560" s="34"/>
      <c r="C1560" t="s">
        <v>271</v>
      </c>
      <c r="D1560" t="s">
        <v>172</v>
      </c>
      <c r="E1560" t="s">
        <v>212</v>
      </c>
      <c r="F1560" t="s">
        <v>239</v>
      </c>
      <c r="G1560" t="s">
        <v>169</v>
      </c>
      <c r="H1560">
        <v>379</v>
      </c>
      <c r="I1560" s="34">
        <f>+POWER_Regional_Daily_20150101_20190305_c11b3312[[#This Row],[Column8]]/100</f>
        <v>3.79</v>
      </c>
      <c r="J1560" s="34"/>
    </row>
    <row r="1561" spans="1:10" x14ac:dyDescent="0.25">
      <c r="A1561" s="34"/>
      <c r="B1561" s="34"/>
      <c r="C1561" t="s">
        <v>271</v>
      </c>
      <c r="D1561" t="s">
        <v>172</v>
      </c>
      <c r="E1561" t="s">
        <v>214</v>
      </c>
      <c r="F1561" t="s">
        <v>187</v>
      </c>
      <c r="G1561" t="s">
        <v>169</v>
      </c>
      <c r="H1561">
        <v>-999</v>
      </c>
      <c r="I1561" s="34">
        <f>+POWER_Regional_Daily_20150101_20190305_c11b3312[[#This Row],[Column8]]/100</f>
        <v>-9.99</v>
      </c>
      <c r="J1561" s="34"/>
    </row>
    <row r="1562" spans="1:10" x14ac:dyDescent="0.25">
      <c r="A1562" s="34"/>
      <c r="B1562" s="34"/>
      <c r="C1562" t="s">
        <v>271</v>
      </c>
      <c r="D1562" t="s">
        <v>172</v>
      </c>
      <c r="E1562" t="s">
        <v>215</v>
      </c>
      <c r="F1562" t="s">
        <v>195</v>
      </c>
      <c r="G1562" t="s">
        <v>169</v>
      </c>
      <c r="H1562">
        <v>495</v>
      </c>
      <c r="I1562" s="34">
        <f>+POWER_Regional_Daily_20150101_20190305_c11b3312[[#This Row],[Column8]]/100</f>
        <v>4.95</v>
      </c>
      <c r="J1562" s="34"/>
    </row>
    <row r="1563" spans="1:10" x14ac:dyDescent="0.25">
      <c r="A1563" s="34"/>
      <c r="B1563" s="34"/>
      <c r="C1563" t="s">
        <v>271</v>
      </c>
      <c r="D1563" t="s">
        <v>172</v>
      </c>
      <c r="E1563" t="s">
        <v>217</v>
      </c>
      <c r="F1563" t="s">
        <v>257</v>
      </c>
      <c r="G1563" t="s">
        <v>169</v>
      </c>
      <c r="H1563">
        <v>201</v>
      </c>
      <c r="I1563" s="34">
        <f>+POWER_Regional_Daily_20150101_20190305_c11b3312[[#This Row],[Column8]]/100</f>
        <v>2.0099999999999998</v>
      </c>
      <c r="J1563" s="34"/>
    </row>
    <row r="1564" spans="1:10" x14ac:dyDescent="0.25">
      <c r="A1564" s="34"/>
      <c r="B1564" s="34"/>
      <c r="C1564" t="s">
        <v>271</v>
      </c>
      <c r="D1564" t="s">
        <v>172</v>
      </c>
      <c r="E1564" t="s">
        <v>219</v>
      </c>
      <c r="F1564" t="s">
        <v>233</v>
      </c>
      <c r="G1564" t="s">
        <v>169</v>
      </c>
      <c r="H1564">
        <v>485</v>
      </c>
      <c r="I1564" s="34">
        <f>+POWER_Regional_Daily_20150101_20190305_c11b3312[[#This Row],[Column8]]/100</f>
        <v>4.8499999999999996</v>
      </c>
      <c r="J1564" s="34"/>
    </row>
    <row r="1565" spans="1:10" x14ac:dyDescent="0.25">
      <c r="A1565" s="34"/>
      <c r="B1565" s="34"/>
      <c r="C1565" t="s">
        <v>271</v>
      </c>
      <c r="D1565" t="s">
        <v>172</v>
      </c>
      <c r="E1565" t="s">
        <v>220</v>
      </c>
      <c r="F1565" t="s">
        <v>233</v>
      </c>
      <c r="G1565" t="s">
        <v>169</v>
      </c>
      <c r="H1565">
        <v>478</v>
      </c>
      <c r="I1565" s="34">
        <f>+POWER_Regional_Daily_20150101_20190305_c11b3312[[#This Row],[Column8]]/100</f>
        <v>4.78</v>
      </c>
      <c r="J1565" s="34"/>
    </row>
    <row r="1566" spans="1:10" x14ac:dyDescent="0.25">
      <c r="A1566" s="34"/>
      <c r="B1566" s="34"/>
      <c r="C1566" t="s">
        <v>271</v>
      </c>
      <c r="D1566" t="s">
        <v>174</v>
      </c>
      <c r="E1566" t="s">
        <v>167</v>
      </c>
      <c r="F1566" t="s">
        <v>197</v>
      </c>
      <c r="G1566" t="s">
        <v>169</v>
      </c>
      <c r="H1566">
        <v>463</v>
      </c>
      <c r="I1566" s="34">
        <f>+POWER_Regional_Daily_20150101_20190305_c11b3312[[#This Row],[Column8]]/100</f>
        <v>4.63</v>
      </c>
      <c r="J1566" s="34"/>
    </row>
    <row r="1567" spans="1:10" x14ac:dyDescent="0.25">
      <c r="A1567" s="34"/>
      <c r="B1567" s="34"/>
      <c r="C1567" t="s">
        <v>271</v>
      </c>
      <c r="D1567" t="s">
        <v>174</v>
      </c>
      <c r="E1567" t="s">
        <v>170</v>
      </c>
      <c r="F1567" t="s">
        <v>243</v>
      </c>
      <c r="G1567" t="s">
        <v>169</v>
      </c>
      <c r="H1567">
        <v>325</v>
      </c>
      <c r="I1567" s="34">
        <f>+POWER_Regional_Daily_20150101_20190305_c11b3312[[#This Row],[Column8]]/100</f>
        <v>3.25</v>
      </c>
      <c r="J1567" s="34"/>
    </row>
    <row r="1568" spans="1:10" x14ac:dyDescent="0.25">
      <c r="A1568" s="34"/>
      <c r="B1568" s="34"/>
      <c r="C1568" t="s">
        <v>271</v>
      </c>
      <c r="D1568" t="s">
        <v>174</v>
      </c>
      <c r="E1568" t="s">
        <v>172</v>
      </c>
      <c r="F1568" t="s">
        <v>195</v>
      </c>
      <c r="G1568" t="s">
        <v>169</v>
      </c>
      <c r="H1568">
        <v>497</v>
      </c>
      <c r="I1568" s="34">
        <f>+POWER_Regional_Daily_20150101_20190305_c11b3312[[#This Row],[Column8]]/100</f>
        <v>4.97</v>
      </c>
      <c r="J1568" s="34"/>
    </row>
    <row r="1569" spans="1:10" x14ac:dyDescent="0.25">
      <c r="A1569" s="34"/>
      <c r="B1569" s="34"/>
      <c r="C1569" t="s">
        <v>271</v>
      </c>
      <c r="D1569" t="s">
        <v>174</v>
      </c>
      <c r="E1569" t="s">
        <v>174</v>
      </c>
      <c r="F1569" t="s">
        <v>230</v>
      </c>
      <c r="G1569" t="s">
        <v>169</v>
      </c>
      <c r="H1569">
        <v>391</v>
      </c>
      <c r="I1569" s="34">
        <f>+POWER_Regional_Daily_20150101_20190305_c11b3312[[#This Row],[Column8]]/100</f>
        <v>3.91</v>
      </c>
      <c r="J1569" s="34"/>
    </row>
    <row r="1570" spans="1:10" x14ac:dyDescent="0.25">
      <c r="A1570" s="34"/>
      <c r="B1570" s="34"/>
      <c r="C1570" t="s">
        <v>271</v>
      </c>
      <c r="D1570" t="s">
        <v>174</v>
      </c>
      <c r="E1570" t="s">
        <v>175</v>
      </c>
      <c r="F1570" t="s">
        <v>211</v>
      </c>
      <c r="G1570" t="s">
        <v>169</v>
      </c>
      <c r="H1570">
        <v>436</v>
      </c>
      <c r="I1570" s="34">
        <f>+POWER_Regional_Daily_20150101_20190305_c11b3312[[#This Row],[Column8]]/100</f>
        <v>4.3600000000000003</v>
      </c>
      <c r="J1570" s="34"/>
    </row>
    <row r="1571" spans="1:10" x14ac:dyDescent="0.25">
      <c r="A1571" s="34"/>
      <c r="B1571" s="34"/>
      <c r="C1571" t="s">
        <v>271</v>
      </c>
      <c r="D1571" t="s">
        <v>174</v>
      </c>
      <c r="E1571" t="s">
        <v>177</v>
      </c>
      <c r="F1571" t="s">
        <v>236</v>
      </c>
      <c r="G1571" t="s">
        <v>169</v>
      </c>
      <c r="H1571">
        <v>543</v>
      </c>
      <c r="I1571" s="34">
        <f>+POWER_Regional_Daily_20150101_20190305_c11b3312[[#This Row],[Column8]]/100</f>
        <v>5.43</v>
      </c>
      <c r="J1571" s="34"/>
    </row>
    <row r="1572" spans="1:10" x14ac:dyDescent="0.25">
      <c r="A1572" s="34"/>
      <c r="B1572" s="34"/>
      <c r="C1572" t="s">
        <v>271</v>
      </c>
      <c r="D1572" t="s">
        <v>174</v>
      </c>
      <c r="E1572" t="s">
        <v>178</v>
      </c>
      <c r="F1572" t="s">
        <v>221</v>
      </c>
      <c r="G1572" t="s">
        <v>169</v>
      </c>
      <c r="H1572">
        <v>426</v>
      </c>
      <c r="I1572" s="34">
        <f>+POWER_Regional_Daily_20150101_20190305_c11b3312[[#This Row],[Column8]]/100</f>
        <v>4.26</v>
      </c>
      <c r="J1572" s="34"/>
    </row>
    <row r="1573" spans="1:10" x14ac:dyDescent="0.25">
      <c r="A1573" s="34"/>
      <c r="B1573" s="34"/>
      <c r="C1573" t="s">
        <v>271</v>
      </c>
      <c r="D1573" t="s">
        <v>174</v>
      </c>
      <c r="E1573" t="s">
        <v>180</v>
      </c>
      <c r="F1573" t="s">
        <v>224</v>
      </c>
      <c r="G1573" t="s">
        <v>169</v>
      </c>
      <c r="H1573">
        <v>471</v>
      </c>
      <c r="I1573" s="34">
        <f>+POWER_Regional_Daily_20150101_20190305_c11b3312[[#This Row],[Column8]]/100</f>
        <v>4.71</v>
      </c>
      <c r="J1573" s="34"/>
    </row>
    <row r="1574" spans="1:10" x14ac:dyDescent="0.25">
      <c r="A1574" s="34"/>
      <c r="B1574" s="34"/>
      <c r="C1574" t="s">
        <v>271</v>
      </c>
      <c r="D1574" t="s">
        <v>174</v>
      </c>
      <c r="E1574" t="s">
        <v>182</v>
      </c>
      <c r="F1574" t="s">
        <v>206</v>
      </c>
      <c r="G1574" t="s">
        <v>169</v>
      </c>
      <c r="H1574">
        <v>406</v>
      </c>
      <c r="I1574" s="34">
        <f>+POWER_Regional_Daily_20150101_20190305_c11b3312[[#This Row],[Column8]]/100</f>
        <v>4.0599999999999996</v>
      </c>
      <c r="J1574" s="34"/>
    </row>
    <row r="1575" spans="1:10" x14ac:dyDescent="0.25">
      <c r="A1575" s="34"/>
      <c r="B1575" s="34"/>
      <c r="C1575" t="s">
        <v>271</v>
      </c>
      <c r="D1575" t="s">
        <v>174</v>
      </c>
      <c r="E1575" t="s">
        <v>184</v>
      </c>
      <c r="F1575" t="s">
        <v>206</v>
      </c>
      <c r="G1575" t="s">
        <v>169</v>
      </c>
      <c r="H1575">
        <v>412</v>
      </c>
      <c r="I1575" s="34">
        <f>+POWER_Regional_Daily_20150101_20190305_c11b3312[[#This Row],[Column8]]/100</f>
        <v>4.12</v>
      </c>
      <c r="J1575" s="34"/>
    </row>
    <row r="1576" spans="1:10" x14ac:dyDescent="0.25">
      <c r="A1576" s="34"/>
      <c r="B1576" s="34"/>
      <c r="C1576" t="s">
        <v>271</v>
      </c>
      <c r="D1576" t="s">
        <v>174</v>
      </c>
      <c r="E1576" t="s">
        <v>186</v>
      </c>
      <c r="F1576" t="s">
        <v>189</v>
      </c>
      <c r="G1576" t="s">
        <v>169</v>
      </c>
      <c r="H1576">
        <v>614</v>
      </c>
      <c r="I1576" s="34">
        <f>+POWER_Regional_Daily_20150101_20190305_c11b3312[[#This Row],[Column8]]/100</f>
        <v>6.14</v>
      </c>
      <c r="J1576" s="34"/>
    </row>
    <row r="1577" spans="1:10" x14ac:dyDescent="0.25">
      <c r="A1577" s="34"/>
      <c r="B1577" s="34"/>
      <c r="C1577" t="s">
        <v>271</v>
      </c>
      <c r="D1577" t="s">
        <v>174</v>
      </c>
      <c r="E1577" t="s">
        <v>188</v>
      </c>
      <c r="F1577" t="s">
        <v>187</v>
      </c>
      <c r="G1577" t="s">
        <v>169</v>
      </c>
      <c r="H1577">
        <v>-999</v>
      </c>
      <c r="I1577" s="34">
        <f>+POWER_Regional_Daily_20150101_20190305_c11b3312[[#This Row],[Column8]]/100</f>
        <v>-9.99</v>
      </c>
      <c r="J1577" s="34"/>
    </row>
    <row r="1578" spans="1:10" x14ac:dyDescent="0.25">
      <c r="A1578" s="34"/>
      <c r="B1578" s="34"/>
      <c r="C1578" t="s">
        <v>271</v>
      </c>
      <c r="D1578" t="s">
        <v>174</v>
      </c>
      <c r="E1578" t="s">
        <v>190</v>
      </c>
      <c r="F1578" t="s">
        <v>204</v>
      </c>
      <c r="G1578" t="s">
        <v>169</v>
      </c>
      <c r="H1578">
        <v>453</v>
      </c>
      <c r="I1578" s="34">
        <f>+POWER_Regional_Daily_20150101_20190305_c11b3312[[#This Row],[Column8]]/100</f>
        <v>4.53</v>
      </c>
      <c r="J1578" s="34"/>
    </row>
    <row r="1579" spans="1:10" x14ac:dyDescent="0.25">
      <c r="A1579" s="34"/>
      <c r="B1579" s="34"/>
      <c r="C1579" t="s">
        <v>271</v>
      </c>
      <c r="D1579" t="s">
        <v>174</v>
      </c>
      <c r="E1579" t="s">
        <v>192</v>
      </c>
      <c r="F1579" t="s">
        <v>236</v>
      </c>
      <c r="G1579" t="s">
        <v>169</v>
      </c>
      <c r="H1579">
        <v>546</v>
      </c>
      <c r="I1579" s="34">
        <f>+POWER_Regional_Daily_20150101_20190305_c11b3312[[#This Row],[Column8]]/100</f>
        <v>5.46</v>
      </c>
      <c r="J1579" s="34"/>
    </row>
    <row r="1580" spans="1:10" x14ac:dyDescent="0.25">
      <c r="A1580" s="34"/>
      <c r="B1580" s="34"/>
      <c r="C1580" t="s">
        <v>271</v>
      </c>
      <c r="D1580" t="s">
        <v>174</v>
      </c>
      <c r="E1580" t="s">
        <v>194</v>
      </c>
      <c r="F1580" t="s">
        <v>218</v>
      </c>
      <c r="G1580" t="s">
        <v>169</v>
      </c>
      <c r="H1580">
        <v>604</v>
      </c>
      <c r="I1580" s="34">
        <f>+POWER_Regional_Daily_20150101_20190305_c11b3312[[#This Row],[Column8]]/100</f>
        <v>6.04</v>
      </c>
      <c r="J1580" s="34"/>
    </row>
    <row r="1581" spans="1:10" x14ac:dyDescent="0.25">
      <c r="A1581" s="34"/>
      <c r="B1581" s="34"/>
      <c r="C1581" t="s">
        <v>271</v>
      </c>
      <c r="D1581" t="s">
        <v>174</v>
      </c>
      <c r="E1581" t="s">
        <v>196</v>
      </c>
      <c r="F1581" t="s">
        <v>195</v>
      </c>
      <c r="G1581" t="s">
        <v>169</v>
      </c>
      <c r="H1581">
        <v>494</v>
      </c>
      <c r="I1581" s="34">
        <f>+POWER_Regional_Daily_20150101_20190305_c11b3312[[#This Row],[Column8]]/100</f>
        <v>4.9400000000000004</v>
      </c>
      <c r="J1581" s="34"/>
    </row>
    <row r="1582" spans="1:10" x14ac:dyDescent="0.25">
      <c r="A1582" s="34"/>
      <c r="B1582" s="34"/>
      <c r="C1582" t="s">
        <v>271</v>
      </c>
      <c r="D1582" t="s">
        <v>174</v>
      </c>
      <c r="E1582" t="s">
        <v>198</v>
      </c>
      <c r="F1582" t="s">
        <v>191</v>
      </c>
      <c r="G1582" t="s">
        <v>169</v>
      </c>
      <c r="H1582">
        <v>358</v>
      </c>
      <c r="I1582" s="34">
        <f>+POWER_Regional_Daily_20150101_20190305_c11b3312[[#This Row],[Column8]]/100</f>
        <v>3.58</v>
      </c>
      <c r="J1582" s="34"/>
    </row>
    <row r="1583" spans="1:10" x14ac:dyDescent="0.25">
      <c r="A1583" s="34"/>
      <c r="B1583" s="34"/>
      <c r="C1583" t="s">
        <v>271</v>
      </c>
      <c r="D1583" t="s">
        <v>174</v>
      </c>
      <c r="E1583" t="s">
        <v>199</v>
      </c>
      <c r="F1583" t="s">
        <v>191</v>
      </c>
      <c r="G1583" t="s">
        <v>169</v>
      </c>
      <c r="H1583">
        <v>352</v>
      </c>
      <c r="I1583" s="34">
        <f>+POWER_Regional_Daily_20150101_20190305_c11b3312[[#This Row],[Column8]]/100</f>
        <v>3.52</v>
      </c>
      <c r="J1583" s="34"/>
    </row>
    <row r="1584" spans="1:10" x14ac:dyDescent="0.25">
      <c r="A1584" s="34"/>
      <c r="B1584" s="34"/>
      <c r="C1584" t="s">
        <v>271</v>
      </c>
      <c r="D1584" t="s">
        <v>174</v>
      </c>
      <c r="E1584" t="s">
        <v>200</v>
      </c>
      <c r="F1584" t="s">
        <v>197</v>
      </c>
      <c r="G1584" t="s">
        <v>169</v>
      </c>
      <c r="H1584">
        <v>457</v>
      </c>
      <c r="I1584" s="34">
        <f>+POWER_Regional_Daily_20150101_20190305_c11b3312[[#This Row],[Column8]]/100</f>
        <v>4.57</v>
      </c>
      <c r="J1584" s="34"/>
    </row>
    <row r="1585" spans="1:10" x14ac:dyDescent="0.25">
      <c r="A1585" s="34"/>
      <c r="B1585" s="34"/>
      <c r="C1585" t="s">
        <v>271</v>
      </c>
      <c r="D1585" t="s">
        <v>174</v>
      </c>
      <c r="E1585" t="s">
        <v>202</v>
      </c>
      <c r="F1585" t="s">
        <v>206</v>
      </c>
      <c r="G1585" t="s">
        <v>169</v>
      </c>
      <c r="H1585">
        <v>401</v>
      </c>
      <c r="I1585" s="34">
        <f>+POWER_Regional_Daily_20150101_20190305_c11b3312[[#This Row],[Column8]]/100</f>
        <v>4.01</v>
      </c>
      <c r="J1585" s="34"/>
    </row>
    <row r="1586" spans="1:10" x14ac:dyDescent="0.25">
      <c r="A1586" s="34"/>
      <c r="B1586" s="34"/>
      <c r="C1586" t="s">
        <v>271</v>
      </c>
      <c r="D1586" t="s">
        <v>174</v>
      </c>
      <c r="E1586" t="s">
        <v>203</v>
      </c>
      <c r="F1586" t="s">
        <v>191</v>
      </c>
      <c r="G1586" t="s">
        <v>169</v>
      </c>
      <c r="H1586">
        <v>350</v>
      </c>
      <c r="I1586" s="34">
        <f>+POWER_Regional_Daily_20150101_20190305_c11b3312[[#This Row],[Column8]]/100</f>
        <v>3.5</v>
      </c>
      <c r="J1586" s="34"/>
    </row>
    <row r="1587" spans="1:10" x14ac:dyDescent="0.25">
      <c r="A1587" s="34"/>
      <c r="B1587" s="34"/>
      <c r="C1587" t="s">
        <v>271</v>
      </c>
      <c r="D1587" t="s">
        <v>174</v>
      </c>
      <c r="E1587" t="s">
        <v>205</v>
      </c>
      <c r="F1587" t="s">
        <v>257</v>
      </c>
      <c r="G1587" t="s">
        <v>169</v>
      </c>
      <c r="H1587">
        <v>201</v>
      </c>
      <c r="I1587" s="34">
        <f>+POWER_Regional_Daily_20150101_20190305_c11b3312[[#This Row],[Column8]]/100</f>
        <v>2.0099999999999998</v>
      </c>
      <c r="J1587" s="34"/>
    </row>
    <row r="1588" spans="1:10" x14ac:dyDescent="0.25">
      <c r="A1588" s="34"/>
      <c r="B1588" s="34"/>
      <c r="C1588" t="s">
        <v>271</v>
      </c>
      <c r="D1588" t="s">
        <v>174</v>
      </c>
      <c r="E1588" t="s">
        <v>207</v>
      </c>
      <c r="F1588" t="s">
        <v>201</v>
      </c>
      <c r="G1588" t="s">
        <v>169</v>
      </c>
      <c r="H1588">
        <v>548</v>
      </c>
      <c r="I1588" s="34">
        <f>+POWER_Regional_Daily_20150101_20190305_c11b3312[[#This Row],[Column8]]/100</f>
        <v>5.48</v>
      </c>
      <c r="J1588" s="34"/>
    </row>
    <row r="1589" spans="1:10" x14ac:dyDescent="0.25">
      <c r="A1589" s="34"/>
      <c r="B1589" s="34"/>
      <c r="C1589" t="s">
        <v>271</v>
      </c>
      <c r="D1589" t="s">
        <v>174</v>
      </c>
      <c r="E1589" t="s">
        <v>208</v>
      </c>
      <c r="F1589" t="s">
        <v>195</v>
      </c>
      <c r="G1589" t="s">
        <v>169</v>
      </c>
      <c r="H1589">
        <v>490</v>
      </c>
      <c r="I1589" s="34">
        <f>+POWER_Regional_Daily_20150101_20190305_c11b3312[[#This Row],[Column8]]/100</f>
        <v>4.9000000000000004</v>
      </c>
      <c r="J1589" s="34"/>
    </row>
    <row r="1590" spans="1:10" x14ac:dyDescent="0.25">
      <c r="A1590" s="34"/>
      <c r="B1590" s="34"/>
      <c r="C1590" t="s">
        <v>271</v>
      </c>
      <c r="D1590" t="s">
        <v>174</v>
      </c>
      <c r="E1590" t="s">
        <v>210</v>
      </c>
      <c r="F1590" t="s">
        <v>193</v>
      </c>
      <c r="G1590" t="s">
        <v>169</v>
      </c>
      <c r="H1590">
        <v>409</v>
      </c>
      <c r="I1590" s="34">
        <f>+POWER_Regional_Daily_20150101_20190305_c11b3312[[#This Row],[Column8]]/100</f>
        <v>4.09</v>
      </c>
      <c r="J1590" s="34"/>
    </row>
    <row r="1591" spans="1:10" x14ac:dyDescent="0.25">
      <c r="A1591" s="34"/>
      <c r="B1591" s="34"/>
      <c r="C1591" t="s">
        <v>271</v>
      </c>
      <c r="D1591" t="s">
        <v>174</v>
      </c>
      <c r="E1591" t="s">
        <v>212</v>
      </c>
      <c r="F1591" t="s">
        <v>224</v>
      </c>
      <c r="G1591" t="s">
        <v>169</v>
      </c>
      <c r="H1591">
        <v>469</v>
      </c>
      <c r="I1591" s="34">
        <f>+POWER_Regional_Daily_20150101_20190305_c11b3312[[#This Row],[Column8]]/100</f>
        <v>4.6900000000000004</v>
      </c>
      <c r="J1591" s="34"/>
    </row>
    <row r="1592" spans="1:10" x14ac:dyDescent="0.25">
      <c r="A1592" s="34"/>
      <c r="B1592" s="34"/>
      <c r="C1592" t="s">
        <v>271</v>
      </c>
      <c r="D1592" t="s">
        <v>174</v>
      </c>
      <c r="E1592" t="s">
        <v>214</v>
      </c>
      <c r="F1592" t="s">
        <v>221</v>
      </c>
      <c r="G1592" t="s">
        <v>169</v>
      </c>
      <c r="H1592">
        <v>425</v>
      </c>
      <c r="I1592" s="34">
        <f>+POWER_Regional_Daily_20150101_20190305_c11b3312[[#This Row],[Column8]]/100</f>
        <v>4.25</v>
      </c>
      <c r="J1592" s="34"/>
    </row>
    <row r="1593" spans="1:10" x14ac:dyDescent="0.25">
      <c r="A1593" s="34"/>
      <c r="B1593" s="34"/>
      <c r="C1593" t="s">
        <v>271</v>
      </c>
      <c r="D1593" t="s">
        <v>174</v>
      </c>
      <c r="E1593" t="s">
        <v>215</v>
      </c>
      <c r="F1593" t="s">
        <v>187</v>
      </c>
      <c r="G1593" t="s">
        <v>169</v>
      </c>
      <c r="H1593">
        <v>-999</v>
      </c>
      <c r="I1593" s="34">
        <f>+POWER_Regional_Daily_20150101_20190305_c11b3312[[#This Row],[Column8]]/100</f>
        <v>-9.99</v>
      </c>
      <c r="J1593" s="34"/>
    </row>
    <row r="1594" spans="1:10" x14ac:dyDescent="0.25">
      <c r="A1594" s="34"/>
      <c r="B1594" s="34"/>
      <c r="C1594" t="s">
        <v>271</v>
      </c>
      <c r="D1594" t="s">
        <v>174</v>
      </c>
      <c r="E1594" t="s">
        <v>217</v>
      </c>
      <c r="F1594" t="s">
        <v>223</v>
      </c>
      <c r="G1594" t="s">
        <v>169</v>
      </c>
      <c r="H1594">
        <v>508</v>
      </c>
      <c r="I1594" s="34">
        <f>+POWER_Regional_Daily_20150101_20190305_c11b3312[[#This Row],[Column8]]/100</f>
        <v>5.08</v>
      </c>
      <c r="J1594" s="34"/>
    </row>
    <row r="1595" spans="1:10" x14ac:dyDescent="0.25">
      <c r="A1595" s="34"/>
      <c r="B1595" s="34"/>
      <c r="C1595" t="s">
        <v>271</v>
      </c>
      <c r="D1595" t="s">
        <v>174</v>
      </c>
      <c r="E1595" t="s">
        <v>219</v>
      </c>
      <c r="F1595" t="s">
        <v>235</v>
      </c>
      <c r="G1595" t="s">
        <v>169</v>
      </c>
      <c r="H1595">
        <v>513</v>
      </c>
      <c r="I1595" s="34">
        <f>+POWER_Regional_Daily_20150101_20190305_c11b3312[[#This Row],[Column8]]/100</f>
        <v>5.13</v>
      </c>
      <c r="J1595" s="34"/>
    </row>
    <row r="1596" spans="1:10" x14ac:dyDescent="0.25">
      <c r="A1596" s="34"/>
      <c r="B1596" s="34"/>
      <c r="C1596" t="s">
        <v>271</v>
      </c>
      <c r="D1596" t="s">
        <v>175</v>
      </c>
      <c r="E1596" t="s">
        <v>167</v>
      </c>
      <c r="F1596" t="s">
        <v>176</v>
      </c>
      <c r="G1596" t="s">
        <v>169</v>
      </c>
      <c r="H1596">
        <v>673</v>
      </c>
      <c r="I1596" s="34">
        <f>+POWER_Regional_Daily_20150101_20190305_c11b3312[[#This Row],[Column8]]/100</f>
        <v>6.73</v>
      </c>
      <c r="J1596" s="34"/>
    </row>
    <row r="1597" spans="1:10" x14ac:dyDescent="0.25">
      <c r="A1597" s="34"/>
      <c r="B1597" s="34"/>
      <c r="C1597" t="s">
        <v>271</v>
      </c>
      <c r="D1597" t="s">
        <v>175</v>
      </c>
      <c r="E1597" t="s">
        <v>170</v>
      </c>
      <c r="F1597" t="s">
        <v>222</v>
      </c>
      <c r="G1597" t="s">
        <v>169</v>
      </c>
      <c r="H1597">
        <v>555</v>
      </c>
      <c r="I1597" s="34">
        <f>+POWER_Regional_Daily_20150101_20190305_c11b3312[[#This Row],[Column8]]/100</f>
        <v>5.55</v>
      </c>
      <c r="J1597" s="34"/>
    </row>
    <row r="1598" spans="1:10" x14ac:dyDescent="0.25">
      <c r="A1598" s="34"/>
      <c r="B1598" s="34"/>
      <c r="C1598" t="s">
        <v>271</v>
      </c>
      <c r="D1598" t="s">
        <v>175</v>
      </c>
      <c r="E1598" t="s">
        <v>172</v>
      </c>
      <c r="F1598" t="s">
        <v>195</v>
      </c>
      <c r="G1598" t="s">
        <v>169</v>
      </c>
      <c r="H1598">
        <v>485</v>
      </c>
      <c r="I1598" s="34">
        <f>+POWER_Regional_Daily_20150101_20190305_c11b3312[[#This Row],[Column8]]/100</f>
        <v>4.8499999999999996</v>
      </c>
      <c r="J1598" s="34"/>
    </row>
    <row r="1599" spans="1:10" x14ac:dyDescent="0.25">
      <c r="A1599" s="34"/>
      <c r="B1599" s="34"/>
      <c r="C1599" t="s">
        <v>271</v>
      </c>
      <c r="D1599" t="s">
        <v>175</v>
      </c>
      <c r="E1599" t="s">
        <v>174</v>
      </c>
      <c r="F1599" t="s">
        <v>221</v>
      </c>
      <c r="G1599" t="s">
        <v>169</v>
      </c>
      <c r="H1599">
        <v>416</v>
      </c>
      <c r="I1599" s="34">
        <f>+POWER_Regional_Daily_20150101_20190305_c11b3312[[#This Row],[Column8]]/100</f>
        <v>4.16</v>
      </c>
      <c r="J1599" s="34"/>
    </row>
    <row r="1600" spans="1:10" x14ac:dyDescent="0.25">
      <c r="A1600" s="34"/>
      <c r="B1600" s="34"/>
      <c r="C1600" t="s">
        <v>271</v>
      </c>
      <c r="D1600" t="s">
        <v>175</v>
      </c>
      <c r="E1600" t="s">
        <v>175</v>
      </c>
      <c r="F1600" t="s">
        <v>185</v>
      </c>
      <c r="G1600" t="s">
        <v>169</v>
      </c>
      <c r="H1600">
        <v>625</v>
      </c>
      <c r="I1600" s="34">
        <f>+POWER_Regional_Daily_20150101_20190305_c11b3312[[#This Row],[Column8]]/100</f>
        <v>6.25</v>
      </c>
      <c r="J1600" s="34"/>
    </row>
    <row r="1601" spans="1:10" x14ac:dyDescent="0.25">
      <c r="A1601" s="34"/>
      <c r="B1601" s="34"/>
      <c r="C1601" t="s">
        <v>271</v>
      </c>
      <c r="D1601" t="s">
        <v>175</v>
      </c>
      <c r="E1601" t="s">
        <v>177</v>
      </c>
      <c r="F1601" t="s">
        <v>201</v>
      </c>
      <c r="G1601" t="s">
        <v>169</v>
      </c>
      <c r="H1601">
        <v>546</v>
      </c>
      <c r="I1601" s="34">
        <f>+POWER_Regional_Daily_20150101_20190305_c11b3312[[#This Row],[Column8]]/100</f>
        <v>5.46</v>
      </c>
      <c r="J1601" s="34"/>
    </row>
    <row r="1602" spans="1:10" x14ac:dyDescent="0.25">
      <c r="A1602" s="34"/>
      <c r="B1602" s="34"/>
      <c r="C1602" t="s">
        <v>271</v>
      </c>
      <c r="D1602" t="s">
        <v>175</v>
      </c>
      <c r="E1602" t="s">
        <v>178</v>
      </c>
      <c r="F1602" t="s">
        <v>239</v>
      </c>
      <c r="G1602" t="s">
        <v>169</v>
      </c>
      <c r="H1602">
        <v>367</v>
      </c>
      <c r="I1602" s="34">
        <f>+POWER_Regional_Daily_20150101_20190305_c11b3312[[#This Row],[Column8]]/100</f>
        <v>3.67</v>
      </c>
      <c r="J1602" s="34"/>
    </row>
    <row r="1603" spans="1:10" x14ac:dyDescent="0.25">
      <c r="A1603" s="34"/>
      <c r="B1603" s="34"/>
      <c r="C1603" t="s">
        <v>271</v>
      </c>
      <c r="D1603" t="s">
        <v>175</v>
      </c>
      <c r="E1603" t="s">
        <v>180</v>
      </c>
      <c r="F1603" t="s">
        <v>226</v>
      </c>
      <c r="G1603" t="s">
        <v>169</v>
      </c>
      <c r="H1603">
        <v>220</v>
      </c>
      <c r="I1603" s="34">
        <f>+POWER_Regional_Daily_20150101_20190305_c11b3312[[#This Row],[Column8]]/100</f>
        <v>2.2000000000000002</v>
      </c>
      <c r="J1603" s="34"/>
    </row>
    <row r="1604" spans="1:10" x14ac:dyDescent="0.25">
      <c r="A1604" s="34"/>
      <c r="B1604" s="34"/>
      <c r="C1604" t="s">
        <v>271</v>
      </c>
      <c r="D1604" t="s">
        <v>175</v>
      </c>
      <c r="E1604" t="s">
        <v>182</v>
      </c>
      <c r="F1604" t="s">
        <v>191</v>
      </c>
      <c r="G1604" t="s">
        <v>169</v>
      </c>
      <c r="H1604">
        <v>347</v>
      </c>
      <c r="I1604" s="34">
        <f>+POWER_Regional_Daily_20150101_20190305_c11b3312[[#This Row],[Column8]]/100</f>
        <v>3.47</v>
      </c>
      <c r="J1604" s="34"/>
    </row>
    <row r="1605" spans="1:10" x14ac:dyDescent="0.25">
      <c r="A1605" s="34"/>
      <c r="B1605" s="34"/>
      <c r="C1605" t="s">
        <v>271</v>
      </c>
      <c r="D1605" t="s">
        <v>175</v>
      </c>
      <c r="E1605" t="s">
        <v>184</v>
      </c>
      <c r="F1605" t="s">
        <v>211</v>
      </c>
      <c r="G1605" t="s">
        <v>169</v>
      </c>
      <c r="H1605">
        <v>431</v>
      </c>
      <c r="I1605" s="34">
        <f>+POWER_Regional_Daily_20150101_20190305_c11b3312[[#This Row],[Column8]]/100</f>
        <v>4.3099999999999996</v>
      </c>
      <c r="J1605" s="34"/>
    </row>
    <row r="1606" spans="1:10" x14ac:dyDescent="0.25">
      <c r="A1606" s="34"/>
      <c r="B1606" s="34"/>
      <c r="C1606" t="s">
        <v>271</v>
      </c>
      <c r="D1606" t="s">
        <v>175</v>
      </c>
      <c r="E1606" t="s">
        <v>186</v>
      </c>
      <c r="F1606" t="s">
        <v>221</v>
      </c>
      <c r="G1606" t="s">
        <v>169</v>
      </c>
      <c r="H1606">
        <v>414</v>
      </c>
      <c r="I1606" s="34">
        <f>+POWER_Regional_Daily_20150101_20190305_c11b3312[[#This Row],[Column8]]/100</f>
        <v>4.1399999999999997</v>
      </c>
      <c r="J1606" s="34"/>
    </row>
    <row r="1607" spans="1:10" x14ac:dyDescent="0.25">
      <c r="A1607" s="34"/>
      <c r="B1607" s="34"/>
      <c r="C1607" t="s">
        <v>271</v>
      </c>
      <c r="D1607" t="s">
        <v>175</v>
      </c>
      <c r="E1607" t="s">
        <v>188</v>
      </c>
      <c r="F1607" t="s">
        <v>235</v>
      </c>
      <c r="G1607" t="s">
        <v>169</v>
      </c>
      <c r="H1607">
        <v>506</v>
      </c>
      <c r="I1607" s="34">
        <f>+POWER_Regional_Daily_20150101_20190305_c11b3312[[#This Row],[Column8]]/100</f>
        <v>5.0599999999999996</v>
      </c>
      <c r="J1607" s="34"/>
    </row>
    <row r="1608" spans="1:10" x14ac:dyDescent="0.25">
      <c r="A1608" s="34"/>
      <c r="B1608" s="34"/>
      <c r="C1608" t="s">
        <v>271</v>
      </c>
      <c r="D1608" t="s">
        <v>175</v>
      </c>
      <c r="E1608" t="s">
        <v>190</v>
      </c>
      <c r="F1608" t="s">
        <v>227</v>
      </c>
      <c r="G1608" t="s">
        <v>169</v>
      </c>
      <c r="H1608">
        <v>332</v>
      </c>
      <c r="I1608" s="34">
        <f>+POWER_Regional_Daily_20150101_20190305_c11b3312[[#This Row],[Column8]]/100</f>
        <v>3.32</v>
      </c>
      <c r="J1608" s="34"/>
    </row>
    <row r="1609" spans="1:10" x14ac:dyDescent="0.25">
      <c r="A1609" s="34"/>
      <c r="B1609" s="34"/>
      <c r="C1609" t="s">
        <v>271</v>
      </c>
      <c r="D1609" t="s">
        <v>175</v>
      </c>
      <c r="E1609" t="s">
        <v>192</v>
      </c>
      <c r="F1609" t="s">
        <v>187</v>
      </c>
      <c r="G1609" t="s">
        <v>169</v>
      </c>
      <c r="H1609">
        <v>-999</v>
      </c>
      <c r="I1609" s="34">
        <f>+POWER_Regional_Daily_20150101_20190305_c11b3312[[#This Row],[Column8]]/100</f>
        <v>-9.99</v>
      </c>
      <c r="J1609" s="34"/>
    </row>
    <row r="1610" spans="1:10" x14ac:dyDescent="0.25">
      <c r="A1610" s="34"/>
      <c r="B1610" s="34"/>
      <c r="C1610" t="s">
        <v>271</v>
      </c>
      <c r="D1610" t="s">
        <v>175</v>
      </c>
      <c r="E1610" t="s">
        <v>194</v>
      </c>
      <c r="F1610" t="s">
        <v>221</v>
      </c>
      <c r="G1610" t="s">
        <v>169</v>
      </c>
      <c r="H1610">
        <v>411</v>
      </c>
      <c r="I1610" s="34">
        <f>+POWER_Regional_Daily_20150101_20190305_c11b3312[[#This Row],[Column8]]/100</f>
        <v>4.1100000000000003</v>
      </c>
      <c r="J1610" s="34"/>
    </row>
    <row r="1611" spans="1:10" x14ac:dyDescent="0.25">
      <c r="A1611" s="34"/>
      <c r="B1611" s="34"/>
      <c r="C1611" t="s">
        <v>271</v>
      </c>
      <c r="D1611" t="s">
        <v>175</v>
      </c>
      <c r="E1611" t="s">
        <v>196</v>
      </c>
      <c r="F1611" t="s">
        <v>197</v>
      </c>
      <c r="G1611" t="s">
        <v>169</v>
      </c>
      <c r="H1611">
        <v>443</v>
      </c>
      <c r="I1611" s="34">
        <f>+POWER_Regional_Daily_20150101_20190305_c11b3312[[#This Row],[Column8]]/100</f>
        <v>4.43</v>
      </c>
      <c r="J1611" s="34"/>
    </row>
    <row r="1612" spans="1:10" x14ac:dyDescent="0.25">
      <c r="A1612" s="34"/>
      <c r="B1612" s="34"/>
      <c r="C1612" t="s">
        <v>271</v>
      </c>
      <c r="D1612" t="s">
        <v>175</v>
      </c>
      <c r="E1612" t="s">
        <v>198</v>
      </c>
      <c r="F1612" t="s">
        <v>233</v>
      </c>
      <c r="G1612" t="s">
        <v>169</v>
      </c>
      <c r="H1612">
        <v>463</v>
      </c>
      <c r="I1612" s="34">
        <f>+POWER_Regional_Daily_20150101_20190305_c11b3312[[#This Row],[Column8]]/100</f>
        <v>4.63</v>
      </c>
      <c r="J1612" s="34"/>
    </row>
    <row r="1613" spans="1:10" x14ac:dyDescent="0.25">
      <c r="A1613" s="34"/>
      <c r="B1613" s="34"/>
      <c r="C1613" t="s">
        <v>271</v>
      </c>
      <c r="D1613" t="s">
        <v>175</v>
      </c>
      <c r="E1613" t="s">
        <v>199</v>
      </c>
      <c r="F1613" t="s">
        <v>193</v>
      </c>
      <c r="G1613" t="s">
        <v>169</v>
      </c>
      <c r="H1613">
        <v>399</v>
      </c>
      <c r="I1613" s="34">
        <f>+POWER_Regional_Daily_20150101_20190305_c11b3312[[#This Row],[Column8]]/100</f>
        <v>3.99</v>
      </c>
      <c r="J1613" s="34"/>
    </row>
    <row r="1614" spans="1:10" x14ac:dyDescent="0.25">
      <c r="A1614" s="34"/>
      <c r="B1614" s="34"/>
      <c r="C1614" t="s">
        <v>271</v>
      </c>
      <c r="D1614" t="s">
        <v>175</v>
      </c>
      <c r="E1614" t="s">
        <v>200</v>
      </c>
      <c r="F1614" t="s">
        <v>246</v>
      </c>
      <c r="G1614" t="s">
        <v>169</v>
      </c>
      <c r="H1614">
        <v>381</v>
      </c>
      <c r="I1614" s="34">
        <f>+POWER_Regional_Daily_20150101_20190305_c11b3312[[#This Row],[Column8]]/100</f>
        <v>3.81</v>
      </c>
      <c r="J1614" s="34"/>
    </row>
    <row r="1615" spans="1:10" x14ac:dyDescent="0.25">
      <c r="A1615" s="34"/>
      <c r="B1615" s="34"/>
      <c r="C1615" t="s">
        <v>271</v>
      </c>
      <c r="D1615" t="s">
        <v>175</v>
      </c>
      <c r="E1615" t="s">
        <v>202</v>
      </c>
      <c r="F1615" t="s">
        <v>231</v>
      </c>
      <c r="G1615" t="s">
        <v>169</v>
      </c>
      <c r="H1615">
        <v>478</v>
      </c>
      <c r="I1615" s="34">
        <f>+POWER_Regional_Daily_20150101_20190305_c11b3312[[#This Row],[Column8]]/100</f>
        <v>4.78</v>
      </c>
      <c r="J1615" s="34"/>
    </row>
    <row r="1616" spans="1:10" x14ac:dyDescent="0.25">
      <c r="A1616" s="34"/>
      <c r="B1616" s="34"/>
      <c r="C1616" t="s">
        <v>271</v>
      </c>
      <c r="D1616" t="s">
        <v>175</v>
      </c>
      <c r="E1616" t="s">
        <v>203</v>
      </c>
      <c r="F1616" t="s">
        <v>235</v>
      </c>
      <c r="G1616" t="s">
        <v>169</v>
      </c>
      <c r="H1616">
        <v>503</v>
      </c>
      <c r="I1616" s="34">
        <f>+POWER_Regional_Daily_20150101_20190305_c11b3312[[#This Row],[Column8]]/100</f>
        <v>5.03</v>
      </c>
      <c r="J1616" s="34"/>
    </row>
    <row r="1617" spans="1:10" x14ac:dyDescent="0.25">
      <c r="A1617" s="34"/>
      <c r="B1617" s="34"/>
      <c r="C1617" t="s">
        <v>271</v>
      </c>
      <c r="D1617" t="s">
        <v>175</v>
      </c>
      <c r="E1617" t="s">
        <v>205</v>
      </c>
      <c r="F1617" t="s">
        <v>224</v>
      </c>
      <c r="G1617" t="s">
        <v>169</v>
      </c>
      <c r="H1617">
        <v>448</v>
      </c>
      <c r="I1617" s="34">
        <f>+POWER_Regional_Daily_20150101_20190305_c11b3312[[#This Row],[Column8]]/100</f>
        <v>4.4800000000000004</v>
      </c>
      <c r="J1617" s="34"/>
    </row>
    <row r="1618" spans="1:10" x14ac:dyDescent="0.25">
      <c r="A1618" s="34"/>
      <c r="B1618" s="34"/>
      <c r="C1618" t="s">
        <v>271</v>
      </c>
      <c r="D1618" t="s">
        <v>175</v>
      </c>
      <c r="E1618" t="s">
        <v>207</v>
      </c>
      <c r="F1618" t="s">
        <v>226</v>
      </c>
      <c r="G1618" t="s">
        <v>169</v>
      </c>
      <c r="H1618">
        <v>222</v>
      </c>
      <c r="I1618" s="34">
        <f>+POWER_Regional_Daily_20150101_20190305_c11b3312[[#This Row],[Column8]]/100</f>
        <v>2.2200000000000002</v>
      </c>
      <c r="J1618" s="34"/>
    </row>
    <row r="1619" spans="1:10" x14ac:dyDescent="0.25">
      <c r="A1619" s="34"/>
      <c r="B1619" s="34"/>
      <c r="C1619" t="s">
        <v>271</v>
      </c>
      <c r="D1619" t="s">
        <v>175</v>
      </c>
      <c r="E1619" t="s">
        <v>208</v>
      </c>
      <c r="F1619" t="s">
        <v>209</v>
      </c>
      <c r="G1619" t="s">
        <v>169</v>
      </c>
      <c r="H1619">
        <v>514</v>
      </c>
      <c r="I1619" s="34">
        <f>+POWER_Regional_Daily_20150101_20190305_c11b3312[[#This Row],[Column8]]/100</f>
        <v>5.14</v>
      </c>
      <c r="J1619" s="34"/>
    </row>
    <row r="1620" spans="1:10" x14ac:dyDescent="0.25">
      <c r="A1620" s="34"/>
      <c r="B1620" s="34"/>
      <c r="C1620" t="s">
        <v>271</v>
      </c>
      <c r="D1620" t="s">
        <v>175</v>
      </c>
      <c r="E1620" t="s">
        <v>210</v>
      </c>
      <c r="F1620" t="s">
        <v>191</v>
      </c>
      <c r="G1620" t="s">
        <v>169</v>
      </c>
      <c r="H1620">
        <v>344</v>
      </c>
      <c r="I1620" s="34">
        <f>+POWER_Regional_Daily_20150101_20190305_c11b3312[[#This Row],[Column8]]/100</f>
        <v>3.44</v>
      </c>
      <c r="J1620" s="34"/>
    </row>
    <row r="1621" spans="1:10" x14ac:dyDescent="0.25">
      <c r="A1621" s="34"/>
      <c r="B1621" s="34"/>
      <c r="C1621" t="s">
        <v>271</v>
      </c>
      <c r="D1621" t="s">
        <v>175</v>
      </c>
      <c r="E1621" t="s">
        <v>212</v>
      </c>
      <c r="F1621" t="s">
        <v>201</v>
      </c>
      <c r="G1621" t="s">
        <v>169</v>
      </c>
      <c r="H1621">
        <v>529</v>
      </c>
      <c r="I1621" s="34">
        <f>+POWER_Regional_Daily_20150101_20190305_c11b3312[[#This Row],[Column8]]/100</f>
        <v>5.29</v>
      </c>
      <c r="J1621" s="34"/>
    </row>
    <row r="1622" spans="1:10" x14ac:dyDescent="0.25">
      <c r="A1622" s="34"/>
      <c r="B1622" s="34"/>
      <c r="C1622" t="s">
        <v>271</v>
      </c>
      <c r="D1622" t="s">
        <v>175</v>
      </c>
      <c r="E1622" t="s">
        <v>214</v>
      </c>
      <c r="F1622" t="s">
        <v>233</v>
      </c>
      <c r="G1622" t="s">
        <v>169</v>
      </c>
      <c r="H1622">
        <v>462</v>
      </c>
      <c r="I1622" s="34">
        <f>+POWER_Regional_Daily_20150101_20190305_c11b3312[[#This Row],[Column8]]/100</f>
        <v>4.62</v>
      </c>
      <c r="J1622" s="34"/>
    </row>
    <row r="1623" spans="1:10" x14ac:dyDescent="0.25">
      <c r="A1623" s="34"/>
      <c r="B1623" s="34"/>
      <c r="C1623" t="s">
        <v>271</v>
      </c>
      <c r="D1623" t="s">
        <v>175</v>
      </c>
      <c r="E1623" t="s">
        <v>215</v>
      </c>
      <c r="F1623" t="s">
        <v>216</v>
      </c>
      <c r="G1623" t="s">
        <v>169</v>
      </c>
      <c r="H1623">
        <v>318</v>
      </c>
      <c r="I1623" s="34">
        <f>+POWER_Regional_Daily_20150101_20190305_c11b3312[[#This Row],[Column8]]/100</f>
        <v>3.18</v>
      </c>
      <c r="J1623" s="34"/>
    </row>
    <row r="1624" spans="1:10" x14ac:dyDescent="0.25">
      <c r="A1624" s="34"/>
      <c r="B1624" s="34"/>
      <c r="C1624" t="s">
        <v>271</v>
      </c>
      <c r="D1624" t="s">
        <v>175</v>
      </c>
      <c r="E1624" t="s">
        <v>217</v>
      </c>
      <c r="F1624" t="s">
        <v>195</v>
      </c>
      <c r="G1624" t="s">
        <v>169</v>
      </c>
      <c r="H1624">
        <v>466</v>
      </c>
      <c r="I1624" s="34">
        <f>+POWER_Regional_Daily_20150101_20190305_c11b3312[[#This Row],[Column8]]/100</f>
        <v>4.66</v>
      </c>
      <c r="J1624" s="34"/>
    </row>
    <row r="1625" spans="1:10" x14ac:dyDescent="0.25">
      <c r="A1625" s="34"/>
      <c r="B1625" s="34"/>
      <c r="C1625" t="s">
        <v>271</v>
      </c>
      <c r="D1625" t="s">
        <v>175</v>
      </c>
      <c r="E1625" t="s">
        <v>219</v>
      </c>
      <c r="F1625" t="s">
        <v>187</v>
      </c>
      <c r="G1625" t="s">
        <v>169</v>
      </c>
      <c r="H1625">
        <v>-999</v>
      </c>
      <c r="I1625" s="34">
        <f>+POWER_Regional_Daily_20150101_20190305_c11b3312[[#This Row],[Column8]]/100</f>
        <v>-9.99</v>
      </c>
      <c r="J1625" s="34"/>
    </row>
    <row r="1626" spans="1:10" x14ac:dyDescent="0.25">
      <c r="A1626" s="34"/>
      <c r="B1626" s="34"/>
      <c r="C1626" t="s">
        <v>271</v>
      </c>
      <c r="D1626" t="s">
        <v>175</v>
      </c>
      <c r="E1626" t="s">
        <v>220</v>
      </c>
      <c r="F1626" t="s">
        <v>206</v>
      </c>
      <c r="G1626" t="s">
        <v>169</v>
      </c>
      <c r="H1626">
        <v>391</v>
      </c>
      <c r="I1626" s="34">
        <f>+POWER_Regional_Daily_20150101_20190305_c11b3312[[#This Row],[Column8]]/100</f>
        <v>3.91</v>
      </c>
      <c r="J1626" s="34"/>
    </row>
    <row r="1627" spans="1:10" x14ac:dyDescent="0.25">
      <c r="A1627" s="34"/>
      <c r="B1627" s="34"/>
      <c r="C1627" t="s">
        <v>271</v>
      </c>
      <c r="D1627" t="s">
        <v>177</v>
      </c>
      <c r="E1627" t="s">
        <v>167</v>
      </c>
      <c r="F1627" t="s">
        <v>221</v>
      </c>
      <c r="G1627" t="s">
        <v>169</v>
      </c>
      <c r="H1627">
        <v>404</v>
      </c>
      <c r="I1627" s="34">
        <f>+POWER_Regional_Daily_20150101_20190305_c11b3312[[#This Row],[Column8]]/100</f>
        <v>4.04</v>
      </c>
      <c r="J1627" s="34"/>
    </row>
    <row r="1628" spans="1:10" x14ac:dyDescent="0.25">
      <c r="A1628" s="34"/>
      <c r="B1628" s="34"/>
      <c r="C1628" t="s">
        <v>271</v>
      </c>
      <c r="D1628" t="s">
        <v>177</v>
      </c>
      <c r="E1628" t="s">
        <v>170</v>
      </c>
      <c r="F1628" t="s">
        <v>224</v>
      </c>
      <c r="G1628" t="s">
        <v>169</v>
      </c>
      <c r="H1628">
        <v>447</v>
      </c>
      <c r="I1628" s="34">
        <f>+POWER_Regional_Daily_20150101_20190305_c11b3312[[#This Row],[Column8]]/100</f>
        <v>4.47</v>
      </c>
      <c r="J1628" s="34"/>
    </row>
    <row r="1629" spans="1:10" x14ac:dyDescent="0.25">
      <c r="A1629" s="34"/>
      <c r="B1629" s="34"/>
      <c r="C1629" t="s">
        <v>271</v>
      </c>
      <c r="D1629" t="s">
        <v>177</v>
      </c>
      <c r="E1629" t="s">
        <v>172</v>
      </c>
      <c r="F1629" t="s">
        <v>213</v>
      </c>
      <c r="G1629" t="s">
        <v>169</v>
      </c>
      <c r="H1629">
        <v>542</v>
      </c>
      <c r="I1629" s="34">
        <f>+POWER_Regional_Daily_20150101_20190305_c11b3312[[#This Row],[Column8]]/100</f>
        <v>5.42</v>
      </c>
      <c r="J1629" s="34"/>
    </row>
    <row r="1630" spans="1:10" x14ac:dyDescent="0.25">
      <c r="A1630" s="34"/>
      <c r="B1630" s="34"/>
      <c r="C1630" t="s">
        <v>271</v>
      </c>
      <c r="D1630" t="s">
        <v>177</v>
      </c>
      <c r="E1630" t="s">
        <v>174</v>
      </c>
      <c r="F1630" t="s">
        <v>234</v>
      </c>
      <c r="G1630" t="s">
        <v>169</v>
      </c>
      <c r="H1630">
        <v>647</v>
      </c>
      <c r="I1630" s="34">
        <f>+POWER_Regional_Daily_20150101_20190305_c11b3312[[#This Row],[Column8]]/100</f>
        <v>6.47</v>
      </c>
      <c r="J1630" s="34"/>
    </row>
    <row r="1631" spans="1:10" x14ac:dyDescent="0.25">
      <c r="A1631" s="34"/>
      <c r="B1631" s="34"/>
      <c r="C1631" t="s">
        <v>271</v>
      </c>
      <c r="D1631" t="s">
        <v>177</v>
      </c>
      <c r="E1631" t="s">
        <v>175</v>
      </c>
      <c r="F1631" t="s">
        <v>233</v>
      </c>
      <c r="G1631" t="s">
        <v>169</v>
      </c>
      <c r="H1631">
        <v>455</v>
      </c>
      <c r="I1631" s="34">
        <f>+POWER_Regional_Daily_20150101_20190305_c11b3312[[#This Row],[Column8]]/100</f>
        <v>4.55</v>
      </c>
      <c r="J1631" s="34"/>
    </row>
    <row r="1632" spans="1:10" x14ac:dyDescent="0.25">
      <c r="A1632" s="34"/>
      <c r="B1632" s="34"/>
      <c r="C1632" t="s">
        <v>271</v>
      </c>
      <c r="D1632" t="s">
        <v>177</v>
      </c>
      <c r="E1632" t="s">
        <v>177</v>
      </c>
      <c r="F1632" t="s">
        <v>197</v>
      </c>
      <c r="G1632" t="s">
        <v>169</v>
      </c>
      <c r="H1632">
        <v>432</v>
      </c>
      <c r="I1632" s="34">
        <f>+POWER_Regional_Daily_20150101_20190305_c11b3312[[#This Row],[Column8]]/100</f>
        <v>4.32</v>
      </c>
      <c r="J1632" s="34"/>
    </row>
    <row r="1633" spans="1:10" x14ac:dyDescent="0.25">
      <c r="A1633" s="34"/>
      <c r="B1633" s="34"/>
      <c r="C1633" t="s">
        <v>271</v>
      </c>
      <c r="D1633" t="s">
        <v>177</v>
      </c>
      <c r="E1633" t="s">
        <v>178</v>
      </c>
      <c r="F1633" t="s">
        <v>241</v>
      </c>
      <c r="G1633" t="s">
        <v>169</v>
      </c>
      <c r="H1633">
        <v>290</v>
      </c>
      <c r="I1633" s="34">
        <f>+POWER_Regional_Daily_20150101_20190305_c11b3312[[#This Row],[Column8]]/100</f>
        <v>2.9</v>
      </c>
      <c r="J1633" s="34"/>
    </row>
    <row r="1634" spans="1:10" x14ac:dyDescent="0.25">
      <c r="A1634" s="34"/>
      <c r="B1634" s="34"/>
      <c r="C1634" t="s">
        <v>271</v>
      </c>
      <c r="D1634" t="s">
        <v>177</v>
      </c>
      <c r="E1634" t="s">
        <v>180</v>
      </c>
      <c r="F1634" t="s">
        <v>222</v>
      </c>
      <c r="G1634" t="s">
        <v>169</v>
      </c>
      <c r="H1634">
        <v>534</v>
      </c>
      <c r="I1634" s="34">
        <f>+POWER_Regional_Daily_20150101_20190305_c11b3312[[#This Row],[Column8]]/100</f>
        <v>5.34</v>
      </c>
      <c r="J1634" s="34"/>
    </row>
    <row r="1635" spans="1:10" x14ac:dyDescent="0.25">
      <c r="A1635" s="34"/>
      <c r="B1635" s="34"/>
      <c r="C1635" t="s">
        <v>271</v>
      </c>
      <c r="D1635" t="s">
        <v>177</v>
      </c>
      <c r="E1635" t="s">
        <v>182</v>
      </c>
      <c r="F1635" t="s">
        <v>223</v>
      </c>
      <c r="G1635" t="s">
        <v>169</v>
      </c>
      <c r="H1635">
        <v>482</v>
      </c>
      <c r="I1635" s="34">
        <f>+POWER_Regional_Daily_20150101_20190305_c11b3312[[#This Row],[Column8]]/100</f>
        <v>4.82</v>
      </c>
      <c r="J1635" s="34"/>
    </row>
    <row r="1636" spans="1:10" x14ac:dyDescent="0.25">
      <c r="A1636" s="34"/>
      <c r="B1636" s="34"/>
      <c r="C1636" t="s">
        <v>271</v>
      </c>
      <c r="D1636" t="s">
        <v>177</v>
      </c>
      <c r="E1636" t="s">
        <v>184</v>
      </c>
      <c r="F1636" t="s">
        <v>239</v>
      </c>
      <c r="G1636" t="s">
        <v>169</v>
      </c>
      <c r="H1636">
        <v>357</v>
      </c>
      <c r="I1636" s="34">
        <f>+POWER_Regional_Daily_20150101_20190305_c11b3312[[#This Row],[Column8]]/100</f>
        <v>3.57</v>
      </c>
      <c r="J1636" s="34"/>
    </row>
    <row r="1637" spans="1:10" x14ac:dyDescent="0.25">
      <c r="A1637" s="34"/>
      <c r="B1637" s="34"/>
      <c r="C1637" t="s">
        <v>271</v>
      </c>
      <c r="D1637" t="s">
        <v>177</v>
      </c>
      <c r="E1637" t="s">
        <v>186</v>
      </c>
      <c r="F1637" t="s">
        <v>183</v>
      </c>
      <c r="G1637" t="s">
        <v>169</v>
      </c>
      <c r="H1637">
        <v>565</v>
      </c>
      <c r="I1637" s="34">
        <f>+POWER_Regional_Daily_20150101_20190305_c11b3312[[#This Row],[Column8]]/100</f>
        <v>5.65</v>
      </c>
      <c r="J1637" s="34"/>
    </row>
    <row r="1638" spans="1:10" x14ac:dyDescent="0.25">
      <c r="A1638" s="34"/>
      <c r="B1638" s="34"/>
      <c r="C1638" t="s">
        <v>271</v>
      </c>
      <c r="D1638" t="s">
        <v>177</v>
      </c>
      <c r="E1638" t="s">
        <v>188</v>
      </c>
      <c r="F1638" t="s">
        <v>233</v>
      </c>
      <c r="G1638" t="s">
        <v>169</v>
      </c>
      <c r="H1638">
        <v>450</v>
      </c>
      <c r="I1638" s="34">
        <f>+POWER_Regional_Daily_20150101_20190305_c11b3312[[#This Row],[Column8]]/100</f>
        <v>4.5</v>
      </c>
      <c r="J1638" s="34"/>
    </row>
    <row r="1639" spans="1:10" x14ac:dyDescent="0.25">
      <c r="A1639" s="34"/>
      <c r="B1639" s="34"/>
      <c r="C1639" t="s">
        <v>271</v>
      </c>
      <c r="D1639" t="s">
        <v>177</v>
      </c>
      <c r="E1639" t="s">
        <v>190</v>
      </c>
      <c r="F1639" t="s">
        <v>224</v>
      </c>
      <c r="G1639" t="s">
        <v>169</v>
      </c>
      <c r="H1639">
        <v>442</v>
      </c>
      <c r="I1639" s="34">
        <f>+POWER_Regional_Daily_20150101_20190305_c11b3312[[#This Row],[Column8]]/100</f>
        <v>4.42</v>
      </c>
      <c r="J1639" s="34"/>
    </row>
    <row r="1640" spans="1:10" x14ac:dyDescent="0.25">
      <c r="A1640" s="34"/>
      <c r="B1640" s="34"/>
      <c r="C1640" t="s">
        <v>271</v>
      </c>
      <c r="D1640" t="s">
        <v>177</v>
      </c>
      <c r="E1640" t="s">
        <v>192</v>
      </c>
      <c r="F1640" t="s">
        <v>211</v>
      </c>
      <c r="G1640" t="s">
        <v>169</v>
      </c>
      <c r="H1640">
        <v>411</v>
      </c>
      <c r="I1640" s="34">
        <f>+POWER_Regional_Daily_20150101_20190305_c11b3312[[#This Row],[Column8]]/100</f>
        <v>4.1100000000000003</v>
      </c>
      <c r="J1640" s="34"/>
    </row>
    <row r="1641" spans="1:10" x14ac:dyDescent="0.25">
      <c r="A1641" s="34"/>
      <c r="B1641" s="34"/>
      <c r="C1641" t="s">
        <v>271</v>
      </c>
      <c r="D1641" t="s">
        <v>177</v>
      </c>
      <c r="E1641" t="s">
        <v>194</v>
      </c>
      <c r="F1641" t="s">
        <v>187</v>
      </c>
      <c r="G1641" t="s">
        <v>169</v>
      </c>
      <c r="H1641">
        <v>-999</v>
      </c>
      <c r="I1641" s="34">
        <f>+POWER_Regional_Daily_20150101_20190305_c11b3312[[#This Row],[Column8]]/100</f>
        <v>-9.99</v>
      </c>
      <c r="J1641" s="34"/>
    </row>
    <row r="1642" spans="1:10" x14ac:dyDescent="0.25">
      <c r="A1642" s="34"/>
      <c r="B1642" s="34"/>
      <c r="C1642" t="s">
        <v>271</v>
      </c>
      <c r="D1642" t="s">
        <v>177</v>
      </c>
      <c r="E1642" t="s">
        <v>196</v>
      </c>
      <c r="F1642" t="s">
        <v>183</v>
      </c>
      <c r="G1642" t="s">
        <v>169</v>
      </c>
      <c r="H1642">
        <v>562</v>
      </c>
      <c r="I1642" s="34">
        <f>+POWER_Regional_Daily_20150101_20190305_c11b3312[[#This Row],[Column8]]/100</f>
        <v>5.62</v>
      </c>
      <c r="J1642" s="34"/>
    </row>
    <row r="1643" spans="1:10" x14ac:dyDescent="0.25">
      <c r="A1643" s="34"/>
      <c r="B1643" s="34"/>
      <c r="C1643" t="s">
        <v>271</v>
      </c>
      <c r="D1643" t="s">
        <v>177</v>
      </c>
      <c r="E1643" t="s">
        <v>198</v>
      </c>
      <c r="F1643" t="s">
        <v>189</v>
      </c>
      <c r="G1643" t="s">
        <v>169</v>
      </c>
      <c r="H1643">
        <v>577</v>
      </c>
      <c r="I1643" s="34">
        <f>+POWER_Regional_Daily_20150101_20190305_c11b3312[[#This Row],[Column8]]/100</f>
        <v>5.77</v>
      </c>
      <c r="J1643" s="34"/>
    </row>
    <row r="1644" spans="1:10" x14ac:dyDescent="0.25">
      <c r="A1644" s="34"/>
      <c r="B1644" s="34"/>
      <c r="C1644" t="s">
        <v>271</v>
      </c>
      <c r="D1644" t="s">
        <v>177</v>
      </c>
      <c r="E1644" t="s">
        <v>199</v>
      </c>
      <c r="F1644" t="s">
        <v>189</v>
      </c>
      <c r="G1644" t="s">
        <v>169</v>
      </c>
      <c r="H1644">
        <v>581</v>
      </c>
      <c r="I1644" s="34">
        <f>+POWER_Regional_Daily_20150101_20190305_c11b3312[[#This Row],[Column8]]/100</f>
        <v>5.81</v>
      </c>
      <c r="J1644" s="34"/>
    </row>
    <row r="1645" spans="1:10" x14ac:dyDescent="0.25">
      <c r="A1645" s="34"/>
      <c r="B1645" s="34"/>
      <c r="C1645" t="s">
        <v>271</v>
      </c>
      <c r="D1645" t="s">
        <v>177</v>
      </c>
      <c r="E1645" t="s">
        <v>200</v>
      </c>
      <c r="F1645" t="s">
        <v>224</v>
      </c>
      <c r="G1645" t="s">
        <v>169</v>
      </c>
      <c r="H1645">
        <v>439</v>
      </c>
      <c r="I1645" s="34">
        <f>+POWER_Regional_Daily_20150101_20190305_c11b3312[[#This Row],[Column8]]/100</f>
        <v>4.3899999999999997</v>
      </c>
      <c r="J1645" s="34"/>
    </row>
    <row r="1646" spans="1:10" x14ac:dyDescent="0.25">
      <c r="A1646" s="34"/>
      <c r="B1646" s="34"/>
      <c r="C1646" t="s">
        <v>271</v>
      </c>
      <c r="D1646" t="s">
        <v>177</v>
      </c>
      <c r="E1646" t="s">
        <v>202</v>
      </c>
      <c r="F1646" t="s">
        <v>246</v>
      </c>
      <c r="G1646" t="s">
        <v>169</v>
      </c>
      <c r="H1646">
        <v>376</v>
      </c>
      <c r="I1646" s="34">
        <f>+POWER_Regional_Daily_20150101_20190305_c11b3312[[#This Row],[Column8]]/100</f>
        <v>3.76</v>
      </c>
      <c r="J1646" s="34"/>
    </row>
    <row r="1647" spans="1:10" x14ac:dyDescent="0.25">
      <c r="A1647" s="34"/>
      <c r="B1647" s="34"/>
      <c r="C1647" t="s">
        <v>271</v>
      </c>
      <c r="D1647" t="s">
        <v>177</v>
      </c>
      <c r="E1647" t="s">
        <v>203</v>
      </c>
      <c r="F1647" t="s">
        <v>183</v>
      </c>
      <c r="G1647" t="s">
        <v>169</v>
      </c>
      <c r="H1647">
        <v>561</v>
      </c>
      <c r="I1647" s="34">
        <f>+POWER_Regional_Daily_20150101_20190305_c11b3312[[#This Row],[Column8]]/100</f>
        <v>5.61</v>
      </c>
      <c r="J1647" s="34"/>
    </row>
    <row r="1648" spans="1:10" x14ac:dyDescent="0.25">
      <c r="A1648" s="34"/>
      <c r="B1648" s="34"/>
      <c r="C1648" t="s">
        <v>271</v>
      </c>
      <c r="D1648" t="s">
        <v>177</v>
      </c>
      <c r="E1648" t="s">
        <v>205</v>
      </c>
      <c r="F1648" t="s">
        <v>218</v>
      </c>
      <c r="G1648" t="s">
        <v>169</v>
      </c>
      <c r="H1648">
        <v>571</v>
      </c>
      <c r="I1648" s="34">
        <f>+POWER_Regional_Daily_20150101_20190305_c11b3312[[#This Row],[Column8]]/100</f>
        <v>5.71</v>
      </c>
      <c r="J1648" s="34"/>
    </row>
    <row r="1649" spans="1:10" x14ac:dyDescent="0.25">
      <c r="A1649" s="34"/>
      <c r="B1649" s="34"/>
      <c r="C1649" t="s">
        <v>271</v>
      </c>
      <c r="D1649" t="s">
        <v>177</v>
      </c>
      <c r="E1649" t="s">
        <v>207</v>
      </c>
      <c r="F1649" t="s">
        <v>221</v>
      </c>
      <c r="G1649" t="s">
        <v>169</v>
      </c>
      <c r="H1649">
        <v>404</v>
      </c>
      <c r="I1649" s="34">
        <f>+POWER_Regional_Daily_20150101_20190305_c11b3312[[#This Row],[Column8]]/100</f>
        <v>4.04</v>
      </c>
      <c r="J1649" s="34"/>
    </row>
    <row r="1650" spans="1:10" x14ac:dyDescent="0.25">
      <c r="A1650" s="34"/>
      <c r="B1650" s="34"/>
      <c r="C1650" t="s">
        <v>271</v>
      </c>
      <c r="D1650" t="s">
        <v>177</v>
      </c>
      <c r="E1650" t="s">
        <v>208</v>
      </c>
      <c r="F1650" t="s">
        <v>237</v>
      </c>
      <c r="G1650" t="s">
        <v>169</v>
      </c>
      <c r="H1650">
        <v>267</v>
      </c>
      <c r="I1650" s="34">
        <f>+POWER_Regional_Daily_20150101_20190305_c11b3312[[#This Row],[Column8]]/100</f>
        <v>2.67</v>
      </c>
      <c r="J1650" s="34"/>
    </row>
    <row r="1651" spans="1:10" x14ac:dyDescent="0.25">
      <c r="A1651" s="34"/>
      <c r="B1651" s="34"/>
      <c r="C1651" t="s">
        <v>271</v>
      </c>
      <c r="D1651" t="s">
        <v>177</v>
      </c>
      <c r="E1651" t="s">
        <v>210</v>
      </c>
      <c r="F1651" t="s">
        <v>233</v>
      </c>
      <c r="G1651" t="s">
        <v>169</v>
      </c>
      <c r="H1651">
        <v>455</v>
      </c>
      <c r="I1651" s="34">
        <f>+POWER_Regional_Daily_20150101_20190305_c11b3312[[#This Row],[Column8]]/100</f>
        <v>4.55</v>
      </c>
      <c r="J1651" s="34"/>
    </row>
    <row r="1652" spans="1:10" x14ac:dyDescent="0.25">
      <c r="A1652" s="34"/>
      <c r="B1652" s="34"/>
      <c r="C1652" t="s">
        <v>271</v>
      </c>
      <c r="D1652" t="s">
        <v>177</v>
      </c>
      <c r="E1652" t="s">
        <v>212</v>
      </c>
      <c r="F1652" t="s">
        <v>189</v>
      </c>
      <c r="G1652" t="s">
        <v>169</v>
      </c>
      <c r="H1652">
        <v>576</v>
      </c>
      <c r="I1652" s="34">
        <f>+POWER_Regional_Daily_20150101_20190305_c11b3312[[#This Row],[Column8]]/100</f>
        <v>5.76</v>
      </c>
      <c r="J1652" s="34"/>
    </row>
    <row r="1653" spans="1:10" x14ac:dyDescent="0.25">
      <c r="A1653" s="34"/>
      <c r="B1653" s="34"/>
      <c r="C1653" t="s">
        <v>271</v>
      </c>
      <c r="D1653" t="s">
        <v>177</v>
      </c>
      <c r="E1653" t="s">
        <v>214</v>
      </c>
      <c r="F1653" t="s">
        <v>218</v>
      </c>
      <c r="G1653" t="s">
        <v>169</v>
      </c>
      <c r="H1653">
        <v>569</v>
      </c>
      <c r="I1653" s="34">
        <f>+POWER_Regional_Daily_20150101_20190305_c11b3312[[#This Row],[Column8]]/100</f>
        <v>5.69</v>
      </c>
      <c r="J1653" s="34"/>
    </row>
    <row r="1654" spans="1:10" x14ac:dyDescent="0.25">
      <c r="A1654" s="34"/>
      <c r="B1654" s="34"/>
      <c r="C1654" t="s">
        <v>271</v>
      </c>
      <c r="D1654" t="s">
        <v>177</v>
      </c>
      <c r="E1654" t="s">
        <v>215</v>
      </c>
      <c r="F1654" t="s">
        <v>231</v>
      </c>
      <c r="G1654" t="s">
        <v>169</v>
      </c>
      <c r="H1654">
        <v>474</v>
      </c>
      <c r="I1654" s="34">
        <f>+POWER_Regional_Daily_20150101_20190305_c11b3312[[#This Row],[Column8]]/100</f>
        <v>4.74</v>
      </c>
      <c r="J1654" s="34"/>
    </row>
    <row r="1655" spans="1:10" x14ac:dyDescent="0.25">
      <c r="A1655" s="34"/>
      <c r="B1655" s="34"/>
      <c r="C1655" t="s">
        <v>271</v>
      </c>
      <c r="D1655" t="s">
        <v>177</v>
      </c>
      <c r="E1655" t="s">
        <v>217</v>
      </c>
      <c r="F1655" t="s">
        <v>195</v>
      </c>
      <c r="G1655" t="s">
        <v>169</v>
      </c>
      <c r="H1655">
        <v>462</v>
      </c>
      <c r="I1655" s="34">
        <f>+POWER_Regional_Daily_20150101_20190305_c11b3312[[#This Row],[Column8]]/100</f>
        <v>4.62</v>
      </c>
      <c r="J1655" s="34"/>
    </row>
    <row r="1656" spans="1:10" x14ac:dyDescent="0.25">
      <c r="A1656" s="34"/>
      <c r="B1656" s="34"/>
      <c r="C1656" t="s">
        <v>271</v>
      </c>
      <c r="D1656" t="s">
        <v>177</v>
      </c>
      <c r="E1656" t="s">
        <v>219</v>
      </c>
      <c r="F1656" t="s">
        <v>236</v>
      </c>
      <c r="G1656" t="s">
        <v>169</v>
      </c>
      <c r="H1656">
        <v>515</v>
      </c>
      <c r="I1656" s="34">
        <f>+POWER_Regional_Daily_20150101_20190305_c11b3312[[#This Row],[Column8]]/100</f>
        <v>5.15</v>
      </c>
      <c r="J1656" s="34"/>
    </row>
    <row r="1657" spans="1:10" x14ac:dyDescent="0.25">
      <c r="A1657" s="34"/>
      <c r="B1657" s="34"/>
      <c r="C1657" t="s">
        <v>271</v>
      </c>
      <c r="D1657" t="s">
        <v>178</v>
      </c>
      <c r="E1657" t="s">
        <v>167</v>
      </c>
      <c r="F1657" t="s">
        <v>187</v>
      </c>
      <c r="G1657" t="s">
        <v>169</v>
      </c>
      <c r="H1657">
        <v>-999</v>
      </c>
      <c r="I1657" s="34">
        <f>+POWER_Regional_Daily_20150101_20190305_c11b3312[[#This Row],[Column8]]/100</f>
        <v>-9.99</v>
      </c>
      <c r="J1657" s="34"/>
    </row>
    <row r="1658" spans="1:10" x14ac:dyDescent="0.25">
      <c r="A1658" s="34"/>
      <c r="B1658" s="34"/>
      <c r="C1658" t="s">
        <v>271</v>
      </c>
      <c r="D1658" t="s">
        <v>178</v>
      </c>
      <c r="E1658" t="s">
        <v>170</v>
      </c>
      <c r="F1658" t="s">
        <v>209</v>
      </c>
      <c r="G1658" t="s">
        <v>169</v>
      </c>
      <c r="H1658">
        <v>499</v>
      </c>
      <c r="I1658" s="34">
        <f>+POWER_Regional_Daily_20150101_20190305_c11b3312[[#This Row],[Column8]]/100</f>
        <v>4.99</v>
      </c>
      <c r="J1658" s="34"/>
    </row>
    <row r="1659" spans="1:10" x14ac:dyDescent="0.25">
      <c r="A1659" s="34"/>
      <c r="B1659" s="34"/>
      <c r="C1659" t="s">
        <v>271</v>
      </c>
      <c r="D1659" t="s">
        <v>178</v>
      </c>
      <c r="E1659" t="s">
        <v>172</v>
      </c>
      <c r="F1659" t="s">
        <v>236</v>
      </c>
      <c r="G1659" t="s">
        <v>169</v>
      </c>
      <c r="H1659">
        <v>507</v>
      </c>
      <c r="I1659" s="34">
        <f>+POWER_Regional_Daily_20150101_20190305_c11b3312[[#This Row],[Column8]]/100</f>
        <v>5.07</v>
      </c>
      <c r="J1659" s="34"/>
    </row>
    <row r="1660" spans="1:10" x14ac:dyDescent="0.25">
      <c r="A1660" s="34"/>
      <c r="B1660" s="34"/>
      <c r="C1660" t="s">
        <v>271</v>
      </c>
      <c r="D1660" t="s">
        <v>178</v>
      </c>
      <c r="E1660" t="s">
        <v>174</v>
      </c>
      <c r="F1660" t="s">
        <v>181</v>
      </c>
      <c r="G1660" t="s">
        <v>169</v>
      </c>
      <c r="H1660">
        <v>552</v>
      </c>
      <c r="I1660" s="34">
        <f>+POWER_Regional_Daily_20150101_20190305_c11b3312[[#This Row],[Column8]]/100</f>
        <v>5.52</v>
      </c>
      <c r="J1660" s="34"/>
    </row>
    <row r="1661" spans="1:10" x14ac:dyDescent="0.25">
      <c r="A1661" s="34"/>
      <c r="B1661" s="34"/>
      <c r="C1661" t="s">
        <v>271</v>
      </c>
      <c r="D1661" t="s">
        <v>178</v>
      </c>
      <c r="E1661" t="s">
        <v>175</v>
      </c>
      <c r="F1661" t="s">
        <v>168</v>
      </c>
      <c r="G1661" t="s">
        <v>169</v>
      </c>
      <c r="H1661">
        <v>611</v>
      </c>
      <c r="I1661" s="34">
        <f>+POWER_Regional_Daily_20150101_20190305_c11b3312[[#This Row],[Column8]]/100</f>
        <v>6.11</v>
      </c>
      <c r="J1661" s="34"/>
    </row>
    <row r="1662" spans="1:10" x14ac:dyDescent="0.25">
      <c r="A1662" s="34"/>
      <c r="B1662" s="34"/>
      <c r="C1662" t="s">
        <v>271</v>
      </c>
      <c r="D1662" t="s">
        <v>178</v>
      </c>
      <c r="E1662" t="s">
        <v>177</v>
      </c>
      <c r="F1662" t="s">
        <v>173</v>
      </c>
      <c r="G1662" t="s">
        <v>169</v>
      </c>
      <c r="H1662">
        <v>688</v>
      </c>
      <c r="I1662" s="34">
        <f>+POWER_Regional_Daily_20150101_20190305_c11b3312[[#This Row],[Column8]]/100</f>
        <v>6.88</v>
      </c>
      <c r="J1662" s="34"/>
    </row>
    <row r="1663" spans="1:10" x14ac:dyDescent="0.25">
      <c r="A1663" s="34"/>
      <c r="B1663" s="34"/>
      <c r="C1663" t="s">
        <v>271</v>
      </c>
      <c r="D1663" t="s">
        <v>178</v>
      </c>
      <c r="E1663" t="s">
        <v>178</v>
      </c>
      <c r="F1663" t="s">
        <v>238</v>
      </c>
      <c r="G1663" t="s">
        <v>319</v>
      </c>
      <c r="H1663">
        <v>616</v>
      </c>
      <c r="I1663" s="34">
        <f>+POWER_Regional_Daily_20150101_20190305_c11b3312[[#This Row],[Column8]]/100</f>
        <v>6.16</v>
      </c>
      <c r="J1663" s="34"/>
    </row>
    <row r="1664" spans="1:10" x14ac:dyDescent="0.25">
      <c r="A1664" s="34"/>
      <c r="B1664" s="34"/>
      <c r="C1664" t="s">
        <v>271</v>
      </c>
      <c r="D1664" t="s">
        <v>178</v>
      </c>
      <c r="E1664" t="s">
        <v>180</v>
      </c>
      <c r="F1664" t="s">
        <v>201</v>
      </c>
      <c r="G1664" t="s">
        <v>169</v>
      </c>
      <c r="H1664">
        <v>519</v>
      </c>
      <c r="I1664" s="34">
        <f>+POWER_Regional_Daily_20150101_20190305_c11b3312[[#This Row],[Column8]]/100</f>
        <v>5.19</v>
      </c>
      <c r="J1664" s="34"/>
    </row>
    <row r="1665" spans="1:10" x14ac:dyDescent="0.25">
      <c r="A1665" s="34"/>
      <c r="B1665" s="34"/>
      <c r="C1665" t="s">
        <v>271</v>
      </c>
      <c r="D1665" t="s">
        <v>178</v>
      </c>
      <c r="E1665" t="s">
        <v>182</v>
      </c>
      <c r="F1665" t="s">
        <v>204</v>
      </c>
      <c r="G1665" t="s">
        <v>169</v>
      </c>
      <c r="H1665">
        <v>420</v>
      </c>
      <c r="I1665" s="34">
        <f>+POWER_Regional_Daily_20150101_20190305_c11b3312[[#This Row],[Column8]]/100</f>
        <v>4.2</v>
      </c>
      <c r="J1665" s="34"/>
    </row>
    <row r="1666" spans="1:10" x14ac:dyDescent="0.25">
      <c r="A1666" s="34"/>
      <c r="B1666" s="34"/>
      <c r="C1666" t="s">
        <v>271</v>
      </c>
      <c r="D1666" t="s">
        <v>178</v>
      </c>
      <c r="E1666" t="s">
        <v>184</v>
      </c>
      <c r="F1666" t="s">
        <v>209</v>
      </c>
      <c r="G1666" t="s">
        <v>169</v>
      </c>
      <c r="H1666">
        <v>508</v>
      </c>
      <c r="I1666" s="34">
        <f>+POWER_Regional_Daily_20150101_20190305_c11b3312[[#This Row],[Column8]]/100</f>
        <v>5.08</v>
      </c>
      <c r="J1666" s="34"/>
    </row>
    <row r="1667" spans="1:10" x14ac:dyDescent="0.25">
      <c r="A1667" s="34"/>
      <c r="B1667" s="34"/>
      <c r="C1667" t="s">
        <v>271</v>
      </c>
      <c r="D1667" t="s">
        <v>178</v>
      </c>
      <c r="E1667" t="s">
        <v>186</v>
      </c>
      <c r="F1667" t="s">
        <v>181</v>
      </c>
      <c r="G1667" t="s">
        <v>169</v>
      </c>
      <c r="H1667">
        <v>558</v>
      </c>
      <c r="I1667" s="34">
        <f>+POWER_Regional_Daily_20150101_20190305_c11b3312[[#This Row],[Column8]]/100</f>
        <v>5.58</v>
      </c>
      <c r="J1667" s="34"/>
    </row>
    <row r="1668" spans="1:10" x14ac:dyDescent="0.25">
      <c r="A1668" s="34"/>
      <c r="B1668" s="34"/>
      <c r="C1668" t="s">
        <v>271</v>
      </c>
      <c r="D1668" t="s">
        <v>178</v>
      </c>
      <c r="E1668" t="s">
        <v>188</v>
      </c>
      <c r="F1668" t="s">
        <v>201</v>
      </c>
      <c r="G1668" t="s">
        <v>169</v>
      </c>
      <c r="H1668">
        <v>520</v>
      </c>
      <c r="I1668" s="34">
        <f>+POWER_Regional_Daily_20150101_20190305_c11b3312[[#This Row],[Column8]]/100</f>
        <v>5.2</v>
      </c>
      <c r="J1668" s="34"/>
    </row>
    <row r="1669" spans="1:10" x14ac:dyDescent="0.25">
      <c r="A1669" s="34"/>
      <c r="B1669" s="34"/>
      <c r="C1669" t="s">
        <v>271</v>
      </c>
      <c r="D1669" t="s">
        <v>178</v>
      </c>
      <c r="E1669" t="s">
        <v>190</v>
      </c>
      <c r="F1669" t="s">
        <v>233</v>
      </c>
      <c r="G1669" t="s">
        <v>169</v>
      </c>
      <c r="H1669">
        <v>451</v>
      </c>
      <c r="I1669" s="34">
        <f>+POWER_Regional_Daily_20150101_20190305_c11b3312[[#This Row],[Column8]]/100</f>
        <v>4.51</v>
      </c>
      <c r="J1669" s="34"/>
    </row>
    <row r="1670" spans="1:10" x14ac:dyDescent="0.25">
      <c r="A1670" s="34"/>
      <c r="B1670" s="34"/>
      <c r="C1670" t="s">
        <v>271</v>
      </c>
      <c r="D1670" t="s">
        <v>178</v>
      </c>
      <c r="E1670" t="s">
        <v>192</v>
      </c>
      <c r="F1670" t="s">
        <v>235</v>
      </c>
      <c r="G1670" t="s">
        <v>169</v>
      </c>
      <c r="H1670">
        <v>492</v>
      </c>
      <c r="I1670" s="34">
        <f>+POWER_Regional_Daily_20150101_20190305_c11b3312[[#This Row],[Column8]]/100</f>
        <v>4.92</v>
      </c>
      <c r="J1670" s="34"/>
    </row>
    <row r="1671" spans="1:10" x14ac:dyDescent="0.25">
      <c r="A1671" s="34"/>
      <c r="B1671" s="34"/>
      <c r="C1671" t="s">
        <v>271</v>
      </c>
      <c r="D1671" t="s">
        <v>178</v>
      </c>
      <c r="E1671" t="s">
        <v>194</v>
      </c>
      <c r="F1671" t="s">
        <v>235</v>
      </c>
      <c r="G1671" t="s">
        <v>169</v>
      </c>
      <c r="H1671">
        <v>498</v>
      </c>
      <c r="I1671" s="34">
        <f>+POWER_Regional_Daily_20150101_20190305_c11b3312[[#This Row],[Column8]]/100</f>
        <v>4.9800000000000004</v>
      </c>
      <c r="J1671" s="34"/>
    </row>
    <row r="1672" spans="1:10" x14ac:dyDescent="0.25">
      <c r="A1672" s="34"/>
      <c r="B1672" s="34"/>
      <c r="C1672" t="s">
        <v>271</v>
      </c>
      <c r="D1672" t="s">
        <v>178</v>
      </c>
      <c r="E1672" t="s">
        <v>196</v>
      </c>
      <c r="F1672" t="s">
        <v>204</v>
      </c>
      <c r="G1672" t="s">
        <v>169</v>
      </c>
      <c r="H1672">
        <v>424</v>
      </c>
      <c r="I1672" s="34">
        <f>+POWER_Regional_Daily_20150101_20190305_c11b3312[[#This Row],[Column8]]/100</f>
        <v>4.24</v>
      </c>
      <c r="J1672" s="34"/>
    </row>
    <row r="1673" spans="1:10" x14ac:dyDescent="0.25">
      <c r="A1673" s="34"/>
      <c r="B1673" s="34"/>
      <c r="C1673" t="s">
        <v>271</v>
      </c>
      <c r="D1673" t="s">
        <v>178</v>
      </c>
      <c r="E1673" t="s">
        <v>198</v>
      </c>
      <c r="F1673" t="s">
        <v>187</v>
      </c>
      <c r="G1673" t="s">
        <v>169</v>
      </c>
      <c r="H1673">
        <v>-999</v>
      </c>
      <c r="I1673" s="34">
        <f>+POWER_Regional_Daily_20150101_20190305_c11b3312[[#This Row],[Column8]]/100</f>
        <v>-9.99</v>
      </c>
      <c r="J1673" s="34"/>
    </row>
    <row r="1674" spans="1:10" x14ac:dyDescent="0.25">
      <c r="A1674" s="34"/>
      <c r="B1674" s="34"/>
      <c r="C1674" t="s">
        <v>271</v>
      </c>
      <c r="D1674" t="s">
        <v>178</v>
      </c>
      <c r="E1674" t="s">
        <v>199</v>
      </c>
      <c r="F1674" t="s">
        <v>168</v>
      </c>
      <c r="G1674" t="s">
        <v>312</v>
      </c>
      <c r="H1674">
        <v>619</v>
      </c>
      <c r="I1674" s="34">
        <f>+POWER_Regional_Daily_20150101_20190305_c11b3312[[#This Row],[Column8]]/100</f>
        <v>6.19</v>
      </c>
      <c r="J1674" s="34"/>
    </row>
    <row r="1675" spans="1:10" x14ac:dyDescent="0.25">
      <c r="A1675" s="34"/>
      <c r="B1675" s="34"/>
      <c r="C1675" t="s">
        <v>271</v>
      </c>
      <c r="D1675" t="s">
        <v>178</v>
      </c>
      <c r="E1675" t="s">
        <v>200</v>
      </c>
      <c r="F1675" t="s">
        <v>248</v>
      </c>
      <c r="G1675" t="s">
        <v>169</v>
      </c>
      <c r="H1675">
        <v>666</v>
      </c>
      <c r="I1675" s="34">
        <f>+POWER_Regional_Daily_20150101_20190305_c11b3312[[#This Row],[Column8]]/100</f>
        <v>6.66</v>
      </c>
      <c r="J1675" s="34"/>
    </row>
    <row r="1676" spans="1:10" x14ac:dyDescent="0.25">
      <c r="A1676" s="34"/>
      <c r="B1676" s="34"/>
      <c r="C1676" t="s">
        <v>271</v>
      </c>
      <c r="D1676" t="s">
        <v>178</v>
      </c>
      <c r="E1676" t="s">
        <v>202</v>
      </c>
      <c r="F1676" t="s">
        <v>213</v>
      </c>
      <c r="G1676" t="s">
        <v>169</v>
      </c>
      <c r="H1676">
        <v>552</v>
      </c>
      <c r="I1676" s="34">
        <f>+POWER_Regional_Daily_20150101_20190305_c11b3312[[#This Row],[Column8]]/100</f>
        <v>5.52</v>
      </c>
      <c r="J1676" s="34"/>
    </row>
    <row r="1677" spans="1:10" x14ac:dyDescent="0.25">
      <c r="A1677" s="34"/>
      <c r="B1677" s="34"/>
      <c r="C1677" t="s">
        <v>271</v>
      </c>
      <c r="D1677" t="s">
        <v>178</v>
      </c>
      <c r="E1677" t="s">
        <v>203</v>
      </c>
      <c r="F1677" t="s">
        <v>234</v>
      </c>
      <c r="G1677" t="s">
        <v>169</v>
      </c>
      <c r="H1677">
        <v>642</v>
      </c>
      <c r="I1677" s="34">
        <f>+POWER_Regional_Daily_20150101_20190305_c11b3312[[#This Row],[Column8]]/100</f>
        <v>6.42</v>
      </c>
      <c r="J1677" s="34"/>
    </row>
    <row r="1678" spans="1:10" x14ac:dyDescent="0.25">
      <c r="A1678" s="34"/>
      <c r="B1678" s="34"/>
      <c r="C1678" t="s">
        <v>271</v>
      </c>
      <c r="D1678" t="s">
        <v>178</v>
      </c>
      <c r="E1678" t="s">
        <v>205</v>
      </c>
      <c r="F1678" t="s">
        <v>221</v>
      </c>
      <c r="G1678" t="s">
        <v>169</v>
      </c>
      <c r="H1678">
        <v>407</v>
      </c>
      <c r="I1678" s="34">
        <f>+POWER_Regional_Daily_20150101_20190305_c11b3312[[#This Row],[Column8]]/100</f>
        <v>4.07</v>
      </c>
      <c r="J1678" s="34"/>
    </row>
    <row r="1679" spans="1:10" x14ac:dyDescent="0.25">
      <c r="A1679" s="34"/>
      <c r="B1679" s="34"/>
      <c r="C1679" t="s">
        <v>271</v>
      </c>
      <c r="D1679" t="s">
        <v>178</v>
      </c>
      <c r="E1679" t="s">
        <v>207</v>
      </c>
      <c r="F1679" t="s">
        <v>224</v>
      </c>
      <c r="G1679" t="s">
        <v>169</v>
      </c>
      <c r="H1679">
        <v>444</v>
      </c>
      <c r="I1679" s="34">
        <f>+POWER_Regional_Daily_20150101_20190305_c11b3312[[#This Row],[Column8]]/100</f>
        <v>4.4400000000000004</v>
      </c>
      <c r="J1679" s="34"/>
    </row>
    <row r="1680" spans="1:10" x14ac:dyDescent="0.25">
      <c r="A1680" s="34"/>
      <c r="B1680" s="34"/>
      <c r="C1680" t="s">
        <v>271</v>
      </c>
      <c r="D1680" t="s">
        <v>178</v>
      </c>
      <c r="E1680" t="s">
        <v>208</v>
      </c>
      <c r="F1680" t="s">
        <v>221</v>
      </c>
      <c r="G1680" t="s">
        <v>169</v>
      </c>
      <c r="H1680">
        <v>410</v>
      </c>
      <c r="I1680" s="34">
        <f>+POWER_Regional_Daily_20150101_20190305_c11b3312[[#This Row],[Column8]]/100</f>
        <v>4.0999999999999996</v>
      </c>
      <c r="J1680" s="34"/>
    </row>
    <row r="1681" spans="1:10" x14ac:dyDescent="0.25">
      <c r="A1681" s="34"/>
      <c r="B1681" s="34"/>
      <c r="C1681" t="s">
        <v>271</v>
      </c>
      <c r="D1681" t="s">
        <v>178</v>
      </c>
      <c r="E1681" t="s">
        <v>210</v>
      </c>
      <c r="F1681" t="s">
        <v>209</v>
      </c>
      <c r="G1681" t="s">
        <v>169</v>
      </c>
      <c r="H1681">
        <v>507</v>
      </c>
      <c r="I1681" s="34">
        <f>+POWER_Regional_Daily_20150101_20190305_c11b3312[[#This Row],[Column8]]/100</f>
        <v>5.07</v>
      </c>
      <c r="J1681" s="34"/>
    </row>
    <row r="1682" spans="1:10" x14ac:dyDescent="0.25">
      <c r="A1682" s="34"/>
      <c r="B1682" s="34"/>
      <c r="C1682" t="s">
        <v>271</v>
      </c>
      <c r="D1682" t="s">
        <v>178</v>
      </c>
      <c r="E1682" t="s">
        <v>212</v>
      </c>
      <c r="F1682" t="s">
        <v>195</v>
      </c>
      <c r="G1682" t="s">
        <v>169</v>
      </c>
      <c r="H1682">
        <v>473</v>
      </c>
      <c r="I1682" s="34">
        <f>+POWER_Regional_Daily_20150101_20190305_c11b3312[[#This Row],[Column8]]/100</f>
        <v>4.7300000000000004</v>
      </c>
      <c r="J1682" s="34"/>
    </row>
    <row r="1683" spans="1:10" x14ac:dyDescent="0.25">
      <c r="A1683" s="34"/>
      <c r="B1683" s="34"/>
      <c r="C1683" t="s">
        <v>271</v>
      </c>
      <c r="D1683" t="s">
        <v>178</v>
      </c>
      <c r="E1683" t="s">
        <v>214</v>
      </c>
      <c r="F1683" t="s">
        <v>238</v>
      </c>
      <c r="G1683" t="s">
        <v>169</v>
      </c>
      <c r="H1683">
        <v>626</v>
      </c>
      <c r="I1683" s="34">
        <f>+POWER_Regional_Daily_20150101_20190305_c11b3312[[#This Row],[Column8]]/100</f>
        <v>6.26</v>
      </c>
      <c r="J1683" s="34"/>
    </row>
    <row r="1684" spans="1:10" x14ac:dyDescent="0.25">
      <c r="A1684" s="34"/>
      <c r="B1684" s="34"/>
      <c r="C1684" t="s">
        <v>271</v>
      </c>
      <c r="D1684" t="s">
        <v>178</v>
      </c>
      <c r="E1684" t="s">
        <v>215</v>
      </c>
      <c r="F1684" t="s">
        <v>195</v>
      </c>
      <c r="G1684" t="s">
        <v>169</v>
      </c>
      <c r="H1684">
        <v>472</v>
      </c>
      <c r="I1684" s="34">
        <f>+POWER_Regional_Daily_20150101_20190305_c11b3312[[#This Row],[Column8]]/100</f>
        <v>4.72</v>
      </c>
      <c r="J1684" s="34"/>
    </row>
    <row r="1685" spans="1:10" x14ac:dyDescent="0.25">
      <c r="A1685" s="34"/>
      <c r="B1685" s="34"/>
      <c r="C1685" t="s">
        <v>271</v>
      </c>
      <c r="D1685" t="s">
        <v>178</v>
      </c>
      <c r="E1685" t="s">
        <v>217</v>
      </c>
      <c r="F1685" t="s">
        <v>232</v>
      </c>
      <c r="G1685" t="s">
        <v>169</v>
      </c>
      <c r="H1685">
        <v>600</v>
      </c>
      <c r="I1685" s="34">
        <f>+POWER_Regional_Daily_20150101_20190305_c11b3312[[#This Row],[Column8]]/100</f>
        <v>6</v>
      </c>
      <c r="J1685" s="34"/>
    </row>
    <row r="1686" spans="1:10" x14ac:dyDescent="0.25">
      <c r="A1686" s="34"/>
      <c r="B1686" s="34"/>
      <c r="C1686" t="s">
        <v>271</v>
      </c>
      <c r="D1686" t="s">
        <v>178</v>
      </c>
      <c r="E1686" t="s">
        <v>219</v>
      </c>
      <c r="F1686" t="s">
        <v>185</v>
      </c>
      <c r="G1686" t="s">
        <v>169</v>
      </c>
      <c r="H1686">
        <v>612</v>
      </c>
      <c r="I1686" s="34">
        <f>+POWER_Regional_Daily_20150101_20190305_c11b3312[[#This Row],[Column8]]/100</f>
        <v>6.12</v>
      </c>
      <c r="J1686" s="34"/>
    </row>
    <row r="1687" spans="1:10" x14ac:dyDescent="0.25">
      <c r="A1687" s="34"/>
      <c r="B1687" s="34"/>
      <c r="C1687" t="s">
        <v>271</v>
      </c>
      <c r="D1687" t="s">
        <v>178</v>
      </c>
      <c r="E1687" t="s">
        <v>220</v>
      </c>
      <c r="F1687" t="s">
        <v>185</v>
      </c>
      <c r="G1687" t="s">
        <v>169</v>
      </c>
      <c r="H1687">
        <v>612</v>
      </c>
      <c r="I1687" s="34">
        <f>+POWER_Regional_Daily_20150101_20190305_c11b3312[[#This Row],[Column8]]/100</f>
        <v>6.12</v>
      </c>
      <c r="J1687" s="34"/>
    </row>
    <row r="1688" spans="1:10" x14ac:dyDescent="0.25">
      <c r="A1688" s="34"/>
      <c r="B1688" s="34"/>
      <c r="C1688" t="s">
        <v>271</v>
      </c>
      <c r="D1688" t="s">
        <v>180</v>
      </c>
      <c r="E1688" t="s">
        <v>167</v>
      </c>
      <c r="F1688" t="s">
        <v>235</v>
      </c>
      <c r="G1688" t="s">
        <v>169</v>
      </c>
      <c r="H1688">
        <v>507</v>
      </c>
      <c r="I1688" s="34">
        <f>+POWER_Regional_Daily_20150101_20190305_c11b3312[[#This Row],[Column8]]/100</f>
        <v>5.07</v>
      </c>
      <c r="J1688" s="34"/>
    </row>
    <row r="1689" spans="1:10" x14ac:dyDescent="0.25">
      <c r="A1689" s="34"/>
      <c r="B1689" s="34"/>
      <c r="C1689" t="s">
        <v>271</v>
      </c>
      <c r="D1689" t="s">
        <v>180</v>
      </c>
      <c r="E1689" t="s">
        <v>170</v>
      </c>
      <c r="F1689" t="s">
        <v>187</v>
      </c>
      <c r="G1689" t="s">
        <v>169</v>
      </c>
      <c r="H1689">
        <v>-999</v>
      </c>
      <c r="I1689" s="34">
        <f>+POWER_Regional_Daily_20150101_20190305_c11b3312[[#This Row],[Column8]]/100</f>
        <v>-9.99</v>
      </c>
      <c r="J1689" s="34"/>
    </row>
    <row r="1690" spans="1:10" x14ac:dyDescent="0.25">
      <c r="A1690" s="34"/>
      <c r="B1690" s="34"/>
      <c r="C1690" t="s">
        <v>271</v>
      </c>
      <c r="D1690" t="s">
        <v>180</v>
      </c>
      <c r="E1690" t="s">
        <v>172</v>
      </c>
      <c r="F1690" t="s">
        <v>211</v>
      </c>
      <c r="G1690" t="s">
        <v>169</v>
      </c>
      <c r="H1690">
        <v>421</v>
      </c>
      <c r="I1690" s="34">
        <f>+POWER_Regional_Daily_20150101_20190305_c11b3312[[#This Row],[Column8]]/100</f>
        <v>4.21</v>
      </c>
      <c r="J1690" s="34"/>
    </row>
    <row r="1691" spans="1:10" x14ac:dyDescent="0.25">
      <c r="A1691" s="34"/>
      <c r="B1691" s="34"/>
      <c r="C1691" t="s">
        <v>271</v>
      </c>
      <c r="D1691" t="s">
        <v>180</v>
      </c>
      <c r="E1691" t="s">
        <v>174</v>
      </c>
      <c r="F1691" t="s">
        <v>181</v>
      </c>
      <c r="G1691" t="s">
        <v>169</v>
      </c>
      <c r="H1691">
        <v>566</v>
      </c>
      <c r="I1691" s="34">
        <f>+POWER_Regional_Daily_20150101_20190305_c11b3312[[#This Row],[Column8]]/100</f>
        <v>5.66</v>
      </c>
      <c r="J1691" s="34"/>
    </row>
    <row r="1692" spans="1:10" x14ac:dyDescent="0.25">
      <c r="A1692" s="34"/>
      <c r="B1692" s="34"/>
      <c r="C1692" t="s">
        <v>271</v>
      </c>
      <c r="D1692" t="s">
        <v>180</v>
      </c>
      <c r="E1692" t="s">
        <v>175</v>
      </c>
      <c r="F1692" t="s">
        <v>168</v>
      </c>
      <c r="G1692" t="s">
        <v>169</v>
      </c>
      <c r="H1692">
        <v>628</v>
      </c>
      <c r="I1692" s="34">
        <f>+POWER_Regional_Daily_20150101_20190305_c11b3312[[#This Row],[Column8]]/100</f>
        <v>6.28</v>
      </c>
      <c r="J1692" s="34"/>
    </row>
    <row r="1693" spans="1:10" x14ac:dyDescent="0.25">
      <c r="A1693" s="34"/>
      <c r="B1693" s="34"/>
      <c r="C1693" t="s">
        <v>271</v>
      </c>
      <c r="D1693" t="s">
        <v>180</v>
      </c>
      <c r="E1693" t="s">
        <v>177</v>
      </c>
      <c r="F1693" t="s">
        <v>185</v>
      </c>
      <c r="G1693" t="s">
        <v>169</v>
      </c>
      <c r="H1693">
        <v>621</v>
      </c>
      <c r="I1693" s="34">
        <f>+POWER_Regional_Daily_20150101_20190305_c11b3312[[#This Row],[Column8]]/100</f>
        <v>6.21</v>
      </c>
      <c r="J1693" s="34"/>
    </row>
    <row r="1694" spans="1:10" x14ac:dyDescent="0.25">
      <c r="A1694" s="34"/>
      <c r="B1694" s="34"/>
      <c r="C1694" t="s">
        <v>271</v>
      </c>
      <c r="D1694" t="s">
        <v>180</v>
      </c>
      <c r="E1694" t="s">
        <v>178</v>
      </c>
      <c r="F1694" t="s">
        <v>213</v>
      </c>
      <c r="G1694" t="s">
        <v>169</v>
      </c>
      <c r="H1694">
        <v>558</v>
      </c>
      <c r="I1694" s="34">
        <f>+POWER_Regional_Daily_20150101_20190305_c11b3312[[#This Row],[Column8]]/100</f>
        <v>5.58</v>
      </c>
      <c r="J1694" s="34"/>
    </row>
    <row r="1695" spans="1:10" x14ac:dyDescent="0.25">
      <c r="A1695" s="34"/>
      <c r="B1695" s="34"/>
      <c r="C1695" t="s">
        <v>271</v>
      </c>
      <c r="D1695" t="s">
        <v>180</v>
      </c>
      <c r="E1695" t="s">
        <v>180</v>
      </c>
      <c r="F1695" t="s">
        <v>181</v>
      </c>
      <c r="G1695" t="s">
        <v>169</v>
      </c>
      <c r="H1695">
        <v>567</v>
      </c>
      <c r="I1695" s="34">
        <f>+POWER_Regional_Daily_20150101_20190305_c11b3312[[#This Row],[Column8]]/100</f>
        <v>5.67</v>
      </c>
      <c r="J1695" s="34"/>
    </row>
    <row r="1696" spans="1:10" x14ac:dyDescent="0.25">
      <c r="A1696" s="34"/>
      <c r="B1696" s="34"/>
      <c r="C1696" t="s">
        <v>271</v>
      </c>
      <c r="D1696" t="s">
        <v>180</v>
      </c>
      <c r="E1696" t="s">
        <v>182</v>
      </c>
      <c r="F1696" t="s">
        <v>168</v>
      </c>
      <c r="G1696" t="s">
        <v>169</v>
      </c>
      <c r="H1696">
        <v>627</v>
      </c>
      <c r="I1696" s="34">
        <f>+POWER_Regional_Daily_20150101_20190305_c11b3312[[#This Row],[Column8]]/100</f>
        <v>6.27</v>
      </c>
      <c r="J1696" s="34"/>
    </row>
    <row r="1697" spans="1:10" x14ac:dyDescent="0.25">
      <c r="A1697" s="34"/>
      <c r="B1697" s="34"/>
      <c r="C1697" t="s">
        <v>271</v>
      </c>
      <c r="D1697" t="s">
        <v>180</v>
      </c>
      <c r="E1697" t="s">
        <v>184</v>
      </c>
      <c r="F1697" t="s">
        <v>209</v>
      </c>
      <c r="G1697" t="s">
        <v>265</v>
      </c>
      <c r="H1697">
        <v>519</v>
      </c>
      <c r="I1697" s="34">
        <f>+POWER_Regional_Daily_20150101_20190305_c11b3312[[#This Row],[Column8]]/100</f>
        <v>5.19</v>
      </c>
      <c r="J1697" s="34"/>
    </row>
    <row r="1698" spans="1:10" x14ac:dyDescent="0.25">
      <c r="A1698" s="34"/>
      <c r="B1698" s="34"/>
      <c r="C1698" t="s">
        <v>271</v>
      </c>
      <c r="D1698" t="s">
        <v>180</v>
      </c>
      <c r="E1698" t="s">
        <v>186</v>
      </c>
      <c r="F1698" t="s">
        <v>233</v>
      </c>
      <c r="G1698" t="s">
        <v>169</v>
      </c>
      <c r="H1698">
        <v>467</v>
      </c>
      <c r="I1698" s="34">
        <f>+POWER_Regional_Daily_20150101_20190305_c11b3312[[#This Row],[Column8]]/100</f>
        <v>4.67</v>
      </c>
      <c r="J1698" s="34"/>
    </row>
    <row r="1699" spans="1:10" x14ac:dyDescent="0.25">
      <c r="A1699" s="34"/>
      <c r="B1699" s="34"/>
      <c r="C1699" t="s">
        <v>271</v>
      </c>
      <c r="D1699" t="s">
        <v>180</v>
      </c>
      <c r="E1699" t="s">
        <v>188</v>
      </c>
      <c r="F1699" t="s">
        <v>250</v>
      </c>
      <c r="G1699" t="s">
        <v>323</v>
      </c>
      <c r="H1699">
        <v>654</v>
      </c>
      <c r="I1699" s="34">
        <f>+POWER_Regional_Daily_20150101_20190305_c11b3312[[#This Row],[Column8]]/100</f>
        <v>6.54</v>
      </c>
      <c r="J1699" s="34"/>
    </row>
    <row r="1700" spans="1:10" x14ac:dyDescent="0.25">
      <c r="A1700" s="34"/>
      <c r="B1700" s="34"/>
      <c r="C1700" t="s">
        <v>271</v>
      </c>
      <c r="D1700" t="s">
        <v>180</v>
      </c>
      <c r="E1700" t="s">
        <v>190</v>
      </c>
      <c r="F1700" t="s">
        <v>209</v>
      </c>
      <c r="G1700" t="s">
        <v>169</v>
      </c>
      <c r="H1700">
        <v>520</v>
      </c>
      <c r="I1700" s="34">
        <f>+POWER_Regional_Daily_20150101_20190305_c11b3312[[#This Row],[Column8]]/100</f>
        <v>5.2</v>
      </c>
      <c r="J1700" s="34"/>
    </row>
    <row r="1701" spans="1:10" x14ac:dyDescent="0.25">
      <c r="A1701" s="34"/>
      <c r="B1701" s="34"/>
      <c r="C1701" t="s">
        <v>271</v>
      </c>
      <c r="D1701" t="s">
        <v>180</v>
      </c>
      <c r="E1701" t="s">
        <v>192</v>
      </c>
      <c r="F1701" t="s">
        <v>168</v>
      </c>
      <c r="G1701" t="s">
        <v>169</v>
      </c>
      <c r="H1701">
        <v>633</v>
      </c>
      <c r="I1701" s="34">
        <f>+POWER_Regional_Daily_20150101_20190305_c11b3312[[#This Row],[Column8]]/100</f>
        <v>6.33</v>
      </c>
      <c r="J1701" s="34"/>
    </row>
    <row r="1702" spans="1:10" x14ac:dyDescent="0.25">
      <c r="A1702" s="34"/>
      <c r="B1702" s="34"/>
      <c r="C1702" t="s">
        <v>271</v>
      </c>
      <c r="D1702" t="s">
        <v>180</v>
      </c>
      <c r="E1702" t="s">
        <v>194</v>
      </c>
      <c r="F1702" t="s">
        <v>201</v>
      </c>
      <c r="G1702" t="s">
        <v>169</v>
      </c>
      <c r="H1702">
        <v>543</v>
      </c>
      <c r="I1702" s="34">
        <f>+POWER_Regional_Daily_20150101_20190305_c11b3312[[#This Row],[Column8]]/100</f>
        <v>5.43</v>
      </c>
      <c r="J1702" s="34"/>
    </row>
    <row r="1703" spans="1:10" x14ac:dyDescent="0.25">
      <c r="A1703" s="34"/>
      <c r="B1703" s="34"/>
      <c r="C1703" t="s">
        <v>271</v>
      </c>
      <c r="D1703" t="s">
        <v>180</v>
      </c>
      <c r="E1703" t="s">
        <v>196</v>
      </c>
      <c r="F1703" t="s">
        <v>206</v>
      </c>
      <c r="G1703" t="s">
        <v>169</v>
      </c>
      <c r="H1703">
        <v>400</v>
      </c>
      <c r="I1703" s="34">
        <f>+POWER_Regional_Daily_20150101_20190305_c11b3312[[#This Row],[Column8]]/100</f>
        <v>4</v>
      </c>
      <c r="J1703" s="34"/>
    </row>
    <row r="1704" spans="1:10" x14ac:dyDescent="0.25">
      <c r="A1704" s="34"/>
      <c r="B1704" s="34"/>
      <c r="C1704" t="s">
        <v>271</v>
      </c>
      <c r="D1704" t="s">
        <v>180</v>
      </c>
      <c r="E1704" t="s">
        <v>198</v>
      </c>
      <c r="F1704" t="s">
        <v>197</v>
      </c>
      <c r="G1704" t="s">
        <v>169</v>
      </c>
      <c r="H1704">
        <v>450</v>
      </c>
      <c r="I1704" s="34">
        <f>+POWER_Regional_Daily_20150101_20190305_c11b3312[[#This Row],[Column8]]/100</f>
        <v>4.5</v>
      </c>
      <c r="J1704" s="34"/>
    </row>
    <row r="1705" spans="1:10" x14ac:dyDescent="0.25">
      <c r="A1705" s="34"/>
      <c r="B1705" s="34"/>
      <c r="C1705" t="s">
        <v>271</v>
      </c>
      <c r="D1705" t="s">
        <v>180</v>
      </c>
      <c r="E1705" t="s">
        <v>199</v>
      </c>
      <c r="F1705" t="s">
        <v>187</v>
      </c>
      <c r="G1705" t="s">
        <v>169</v>
      </c>
      <c r="H1705">
        <v>-999</v>
      </c>
      <c r="I1705" s="34">
        <f>+POWER_Regional_Daily_20150101_20190305_c11b3312[[#This Row],[Column8]]/100</f>
        <v>-9.99</v>
      </c>
      <c r="J1705" s="34"/>
    </row>
    <row r="1706" spans="1:10" x14ac:dyDescent="0.25">
      <c r="A1706" s="34"/>
      <c r="B1706" s="34"/>
      <c r="C1706" t="s">
        <v>271</v>
      </c>
      <c r="D1706" t="s">
        <v>180</v>
      </c>
      <c r="E1706" t="s">
        <v>200</v>
      </c>
      <c r="F1706" t="s">
        <v>236</v>
      </c>
      <c r="G1706" t="s">
        <v>169</v>
      </c>
      <c r="H1706">
        <v>533</v>
      </c>
      <c r="I1706" s="34">
        <f>+POWER_Regional_Daily_20150101_20190305_c11b3312[[#This Row],[Column8]]/100</f>
        <v>5.33</v>
      </c>
      <c r="J1706" s="34"/>
    </row>
    <row r="1707" spans="1:10" x14ac:dyDescent="0.25">
      <c r="A1707" s="34"/>
      <c r="B1707" s="34"/>
      <c r="C1707" t="s">
        <v>271</v>
      </c>
      <c r="D1707" t="s">
        <v>180</v>
      </c>
      <c r="E1707" t="s">
        <v>202</v>
      </c>
      <c r="F1707" t="s">
        <v>238</v>
      </c>
      <c r="G1707" t="s">
        <v>169</v>
      </c>
      <c r="H1707">
        <v>648</v>
      </c>
      <c r="I1707" s="34">
        <f>+POWER_Regional_Daily_20150101_20190305_c11b3312[[#This Row],[Column8]]/100</f>
        <v>6.48</v>
      </c>
      <c r="J1707" s="34"/>
    </row>
    <row r="1708" spans="1:10" x14ac:dyDescent="0.25">
      <c r="A1708" s="34"/>
      <c r="B1708" s="34"/>
      <c r="C1708" t="s">
        <v>271</v>
      </c>
      <c r="D1708" t="s">
        <v>180</v>
      </c>
      <c r="E1708" t="s">
        <v>203</v>
      </c>
      <c r="F1708" t="s">
        <v>238</v>
      </c>
      <c r="G1708" t="s">
        <v>169</v>
      </c>
      <c r="H1708">
        <v>641</v>
      </c>
      <c r="I1708" s="34">
        <f>+POWER_Regional_Daily_20150101_20190305_c11b3312[[#This Row],[Column8]]/100</f>
        <v>6.41</v>
      </c>
      <c r="J1708" s="34"/>
    </row>
    <row r="1709" spans="1:10" x14ac:dyDescent="0.25">
      <c r="A1709" s="34"/>
      <c r="B1709" s="34"/>
      <c r="C1709" t="s">
        <v>271</v>
      </c>
      <c r="D1709" t="s">
        <v>180</v>
      </c>
      <c r="E1709" t="s">
        <v>205</v>
      </c>
      <c r="F1709" t="s">
        <v>250</v>
      </c>
      <c r="G1709" t="s">
        <v>169</v>
      </c>
      <c r="H1709">
        <v>659</v>
      </c>
      <c r="I1709" s="34">
        <f>+POWER_Regional_Daily_20150101_20190305_c11b3312[[#This Row],[Column8]]/100</f>
        <v>6.59</v>
      </c>
      <c r="J1709" s="34"/>
    </row>
    <row r="1710" spans="1:10" x14ac:dyDescent="0.25">
      <c r="A1710" s="34"/>
      <c r="B1710" s="34"/>
      <c r="C1710" t="s">
        <v>271</v>
      </c>
      <c r="D1710" t="s">
        <v>180</v>
      </c>
      <c r="E1710" t="s">
        <v>207</v>
      </c>
      <c r="F1710" t="s">
        <v>232</v>
      </c>
      <c r="G1710" t="s">
        <v>169</v>
      </c>
      <c r="H1710">
        <v>611</v>
      </c>
      <c r="I1710" s="34">
        <f>+POWER_Regional_Daily_20150101_20190305_c11b3312[[#This Row],[Column8]]/100</f>
        <v>6.11</v>
      </c>
      <c r="J1710" s="34"/>
    </row>
    <row r="1711" spans="1:10" x14ac:dyDescent="0.25">
      <c r="A1711" s="34"/>
      <c r="B1711" s="34"/>
      <c r="C1711" t="s">
        <v>271</v>
      </c>
      <c r="D1711" t="s">
        <v>180</v>
      </c>
      <c r="E1711" t="s">
        <v>208</v>
      </c>
      <c r="F1711" t="s">
        <v>195</v>
      </c>
      <c r="G1711" t="s">
        <v>169</v>
      </c>
      <c r="H1711">
        <v>483</v>
      </c>
      <c r="I1711" s="34">
        <f>+POWER_Regional_Daily_20150101_20190305_c11b3312[[#This Row],[Column8]]/100</f>
        <v>4.83</v>
      </c>
      <c r="J1711" s="34"/>
    </row>
    <row r="1712" spans="1:10" x14ac:dyDescent="0.25">
      <c r="A1712" s="34"/>
      <c r="B1712" s="34"/>
      <c r="C1712" t="s">
        <v>271</v>
      </c>
      <c r="D1712" t="s">
        <v>180</v>
      </c>
      <c r="E1712" t="s">
        <v>210</v>
      </c>
      <c r="F1712" t="s">
        <v>185</v>
      </c>
      <c r="G1712" t="s">
        <v>169</v>
      </c>
      <c r="H1712">
        <v>631</v>
      </c>
      <c r="I1712" s="34">
        <f>+POWER_Regional_Daily_20150101_20190305_c11b3312[[#This Row],[Column8]]/100</f>
        <v>6.31</v>
      </c>
      <c r="J1712" s="34"/>
    </row>
    <row r="1713" spans="1:10" x14ac:dyDescent="0.25">
      <c r="A1713" s="34"/>
      <c r="B1713" s="34"/>
      <c r="C1713" t="s">
        <v>271</v>
      </c>
      <c r="D1713" t="s">
        <v>180</v>
      </c>
      <c r="E1713" t="s">
        <v>212</v>
      </c>
      <c r="F1713" t="s">
        <v>235</v>
      </c>
      <c r="G1713" t="s">
        <v>169</v>
      </c>
      <c r="H1713">
        <v>515</v>
      </c>
      <c r="I1713" s="34">
        <f>+POWER_Regional_Daily_20150101_20190305_c11b3312[[#This Row],[Column8]]/100</f>
        <v>5.15</v>
      </c>
      <c r="J1713" s="34"/>
    </row>
    <row r="1714" spans="1:10" x14ac:dyDescent="0.25">
      <c r="A1714" s="34"/>
      <c r="B1714" s="34"/>
      <c r="C1714" t="s">
        <v>271</v>
      </c>
      <c r="D1714" t="s">
        <v>180</v>
      </c>
      <c r="E1714" t="s">
        <v>214</v>
      </c>
      <c r="F1714" t="s">
        <v>238</v>
      </c>
      <c r="G1714" t="s">
        <v>169</v>
      </c>
      <c r="H1714">
        <v>651</v>
      </c>
      <c r="I1714" s="34">
        <f>+POWER_Regional_Daily_20150101_20190305_c11b3312[[#This Row],[Column8]]/100</f>
        <v>6.51</v>
      </c>
      <c r="J1714" s="34"/>
    </row>
    <row r="1715" spans="1:10" x14ac:dyDescent="0.25">
      <c r="A1715" s="34"/>
      <c r="B1715" s="34"/>
      <c r="C1715" t="s">
        <v>271</v>
      </c>
      <c r="D1715" t="s">
        <v>180</v>
      </c>
      <c r="E1715" t="s">
        <v>215</v>
      </c>
      <c r="F1715" t="s">
        <v>228</v>
      </c>
      <c r="G1715" t="s">
        <v>169</v>
      </c>
      <c r="H1715">
        <v>264</v>
      </c>
      <c r="I1715" s="34">
        <f>+POWER_Regional_Daily_20150101_20190305_c11b3312[[#This Row],[Column8]]/100</f>
        <v>2.64</v>
      </c>
      <c r="J1715" s="34"/>
    </row>
    <row r="1716" spans="1:10" x14ac:dyDescent="0.25">
      <c r="A1716" s="34"/>
      <c r="B1716" s="34"/>
      <c r="C1716" t="s">
        <v>271</v>
      </c>
      <c r="D1716" t="s">
        <v>180</v>
      </c>
      <c r="E1716" t="s">
        <v>217</v>
      </c>
      <c r="F1716" t="s">
        <v>168</v>
      </c>
      <c r="G1716" t="s">
        <v>169</v>
      </c>
      <c r="H1716">
        <v>635</v>
      </c>
      <c r="I1716" s="34">
        <f>+POWER_Regional_Daily_20150101_20190305_c11b3312[[#This Row],[Column8]]/100</f>
        <v>6.35</v>
      </c>
      <c r="J1716" s="34"/>
    </row>
    <row r="1717" spans="1:10" x14ac:dyDescent="0.25">
      <c r="A1717" s="34"/>
      <c r="B1717" s="34"/>
      <c r="C1717" t="s">
        <v>271</v>
      </c>
      <c r="D1717" t="s">
        <v>180</v>
      </c>
      <c r="E1717" t="s">
        <v>219</v>
      </c>
      <c r="F1717" t="s">
        <v>248</v>
      </c>
      <c r="G1717" t="s">
        <v>169</v>
      </c>
      <c r="H1717">
        <v>692</v>
      </c>
      <c r="I1717" s="34">
        <f>+POWER_Regional_Daily_20150101_20190305_c11b3312[[#This Row],[Column8]]/100</f>
        <v>6.92</v>
      </c>
      <c r="J1717" s="34"/>
    </row>
    <row r="1718" spans="1:10" x14ac:dyDescent="0.25">
      <c r="A1718" s="34"/>
      <c r="B1718" s="34"/>
      <c r="C1718" t="s">
        <v>271</v>
      </c>
      <c r="D1718" t="s">
        <v>180</v>
      </c>
      <c r="E1718" t="s">
        <v>220</v>
      </c>
      <c r="F1718" t="s">
        <v>235</v>
      </c>
      <c r="G1718" t="s">
        <v>169</v>
      </c>
      <c r="H1718">
        <v>516</v>
      </c>
      <c r="I1718" s="34">
        <f>+POWER_Regional_Daily_20150101_20190305_c11b3312[[#This Row],[Column8]]/100</f>
        <v>5.16</v>
      </c>
      <c r="J1718" s="34"/>
    </row>
    <row r="1719" spans="1:10" x14ac:dyDescent="0.25">
      <c r="A1719" s="34"/>
      <c r="B1719" s="34"/>
      <c r="C1719" t="s">
        <v>271</v>
      </c>
      <c r="D1719" t="s">
        <v>182</v>
      </c>
      <c r="E1719" t="s">
        <v>167</v>
      </c>
      <c r="F1719" t="s">
        <v>197</v>
      </c>
      <c r="G1719" t="s">
        <v>169</v>
      </c>
      <c r="H1719">
        <v>456</v>
      </c>
      <c r="I1719" s="34">
        <f>+POWER_Regional_Daily_20150101_20190305_c11b3312[[#This Row],[Column8]]/100</f>
        <v>4.5599999999999996</v>
      </c>
      <c r="J1719" s="34"/>
    </row>
    <row r="1720" spans="1:10" x14ac:dyDescent="0.25">
      <c r="A1720" s="34"/>
      <c r="B1720" s="34"/>
      <c r="C1720" t="s">
        <v>271</v>
      </c>
      <c r="D1720" t="s">
        <v>182</v>
      </c>
      <c r="E1720" t="s">
        <v>170</v>
      </c>
      <c r="F1720" t="s">
        <v>239</v>
      </c>
      <c r="G1720" t="s">
        <v>169</v>
      </c>
      <c r="H1720">
        <v>367</v>
      </c>
      <c r="I1720" s="34">
        <f>+POWER_Regional_Daily_20150101_20190305_c11b3312[[#This Row],[Column8]]/100</f>
        <v>3.67</v>
      </c>
      <c r="J1720" s="34"/>
    </row>
    <row r="1721" spans="1:10" x14ac:dyDescent="0.25">
      <c r="A1721" s="34"/>
      <c r="B1721" s="34"/>
      <c r="C1721" t="s">
        <v>271</v>
      </c>
      <c r="D1721" t="s">
        <v>182</v>
      </c>
      <c r="E1721" t="s">
        <v>172</v>
      </c>
      <c r="F1721" t="s">
        <v>187</v>
      </c>
      <c r="G1721" t="s">
        <v>169</v>
      </c>
      <c r="H1721">
        <v>-999</v>
      </c>
      <c r="I1721" s="34">
        <f>+POWER_Regional_Daily_20150101_20190305_c11b3312[[#This Row],[Column8]]/100</f>
        <v>-9.99</v>
      </c>
      <c r="J1721" s="34"/>
    </row>
    <row r="1722" spans="1:10" x14ac:dyDescent="0.25">
      <c r="A1722" s="34"/>
      <c r="B1722" s="34"/>
      <c r="C1722" t="s">
        <v>271</v>
      </c>
      <c r="D1722" t="s">
        <v>182</v>
      </c>
      <c r="E1722" t="s">
        <v>174</v>
      </c>
      <c r="F1722" t="s">
        <v>224</v>
      </c>
      <c r="G1722" t="s">
        <v>169</v>
      </c>
      <c r="H1722">
        <v>460</v>
      </c>
      <c r="I1722" s="34">
        <f>+POWER_Regional_Daily_20150101_20190305_c11b3312[[#This Row],[Column8]]/100</f>
        <v>4.5999999999999996</v>
      </c>
      <c r="J1722" s="34"/>
    </row>
    <row r="1723" spans="1:10" x14ac:dyDescent="0.25">
      <c r="A1723" s="34"/>
      <c r="B1723" s="34"/>
      <c r="C1723" t="s">
        <v>271</v>
      </c>
      <c r="D1723" t="s">
        <v>182</v>
      </c>
      <c r="E1723" t="s">
        <v>175</v>
      </c>
      <c r="F1723" t="s">
        <v>236</v>
      </c>
      <c r="G1723" t="s">
        <v>169</v>
      </c>
      <c r="H1723">
        <v>534</v>
      </c>
      <c r="I1723" s="34">
        <f>+POWER_Regional_Daily_20150101_20190305_c11b3312[[#This Row],[Column8]]/100</f>
        <v>5.34</v>
      </c>
      <c r="J1723" s="34"/>
    </row>
    <row r="1724" spans="1:10" x14ac:dyDescent="0.25">
      <c r="A1724" s="34"/>
      <c r="B1724" s="34"/>
      <c r="C1724" t="s">
        <v>271</v>
      </c>
      <c r="D1724" t="s">
        <v>182</v>
      </c>
      <c r="E1724" t="s">
        <v>177</v>
      </c>
      <c r="F1724" t="s">
        <v>231</v>
      </c>
      <c r="G1724" t="s">
        <v>169</v>
      </c>
      <c r="H1724">
        <v>496</v>
      </c>
      <c r="I1724" s="34">
        <f>+POWER_Regional_Daily_20150101_20190305_c11b3312[[#This Row],[Column8]]/100</f>
        <v>4.96</v>
      </c>
      <c r="J1724" s="34"/>
    </row>
    <row r="1725" spans="1:10" x14ac:dyDescent="0.25">
      <c r="A1725" s="34"/>
      <c r="B1725" s="34"/>
      <c r="C1725" t="s">
        <v>271</v>
      </c>
      <c r="D1725" t="s">
        <v>182</v>
      </c>
      <c r="E1725" t="s">
        <v>178</v>
      </c>
      <c r="F1725" t="s">
        <v>213</v>
      </c>
      <c r="G1725" t="s">
        <v>169</v>
      </c>
      <c r="H1725">
        <v>571</v>
      </c>
      <c r="I1725" s="34">
        <f>+POWER_Regional_Daily_20150101_20190305_c11b3312[[#This Row],[Column8]]/100</f>
        <v>5.71</v>
      </c>
      <c r="J1725" s="34"/>
    </row>
    <row r="1726" spans="1:10" x14ac:dyDescent="0.25">
      <c r="A1726" s="34"/>
      <c r="B1726" s="34"/>
      <c r="C1726" t="s">
        <v>271</v>
      </c>
      <c r="D1726" t="s">
        <v>182</v>
      </c>
      <c r="E1726" t="s">
        <v>180</v>
      </c>
      <c r="F1726" t="s">
        <v>201</v>
      </c>
      <c r="G1726" t="s">
        <v>169</v>
      </c>
      <c r="H1726">
        <v>545</v>
      </c>
      <c r="I1726" s="34">
        <f>+POWER_Regional_Daily_20150101_20190305_c11b3312[[#This Row],[Column8]]/100</f>
        <v>5.45</v>
      </c>
      <c r="J1726" s="34"/>
    </row>
    <row r="1727" spans="1:10" x14ac:dyDescent="0.25">
      <c r="A1727" s="34"/>
      <c r="B1727" s="34"/>
      <c r="C1727" t="s">
        <v>271</v>
      </c>
      <c r="D1727" t="s">
        <v>182</v>
      </c>
      <c r="E1727" t="s">
        <v>182</v>
      </c>
      <c r="F1727" t="s">
        <v>235</v>
      </c>
      <c r="G1727" t="s">
        <v>169</v>
      </c>
      <c r="H1727">
        <v>513</v>
      </c>
      <c r="I1727" s="34">
        <f>+POWER_Regional_Daily_20150101_20190305_c11b3312[[#This Row],[Column8]]/100</f>
        <v>5.13</v>
      </c>
      <c r="J1727" s="34"/>
    </row>
    <row r="1728" spans="1:10" x14ac:dyDescent="0.25">
      <c r="A1728" s="34"/>
      <c r="B1728" s="34"/>
      <c r="C1728" t="s">
        <v>271</v>
      </c>
      <c r="D1728" t="s">
        <v>182</v>
      </c>
      <c r="E1728" t="s">
        <v>184</v>
      </c>
      <c r="F1728" t="s">
        <v>232</v>
      </c>
      <c r="G1728" t="s">
        <v>169</v>
      </c>
      <c r="H1728">
        <v>622</v>
      </c>
      <c r="I1728" s="34">
        <f>+POWER_Regional_Daily_20150101_20190305_c11b3312[[#This Row],[Column8]]/100</f>
        <v>6.22</v>
      </c>
      <c r="J1728" s="34"/>
    </row>
    <row r="1729" spans="1:10" x14ac:dyDescent="0.25">
      <c r="A1729" s="34"/>
      <c r="B1729" s="34"/>
      <c r="C1729" t="s">
        <v>271</v>
      </c>
      <c r="D1729" t="s">
        <v>182</v>
      </c>
      <c r="E1729" t="s">
        <v>186</v>
      </c>
      <c r="F1729" t="s">
        <v>187</v>
      </c>
      <c r="G1729" t="s">
        <v>169</v>
      </c>
      <c r="H1729">
        <v>-999</v>
      </c>
      <c r="I1729" s="34">
        <f>+POWER_Regional_Daily_20150101_20190305_c11b3312[[#This Row],[Column8]]/100</f>
        <v>-9.99</v>
      </c>
      <c r="J1729" s="34"/>
    </row>
    <row r="1730" spans="1:10" x14ac:dyDescent="0.25">
      <c r="A1730" s="34"/>
      <c r="B1730" s="34"/>
      <c r="C1730" t="s">
        <v>271</v>
      </c>
      <c r="D1730" t="s">
        <v>182</v>
      </c>
      <c r="E1730" t="s">
        <v>188</v>
      </c>
      <c r="F1730" t="s">
        <v>195</v>
      </c>
      <c r="G1730" t="s">
        <v>169</v>
      </c>
      <c r="H1730">
        <v>485</v>
      </c>
      <c r="I1730" s="34">
        <f>+POWER_Regional_Daily_20150101_20190305_c11b3312[[#This Row],[Column8]]/100</f>
        <v>4.8499999999999996</v>
      </c>
      <c r="J1730" s="34"/>
    </row>
    <row r="1731" spans="1:10" x14ac:dyDescent="0.25">
      <c r="A1731" s="34"/>
      <c r="B1731" s="34"/>
      <c r="C1731" t="s">
        <v>271</v>
      </c>
      <c r="D1731" t="s">
        <v>182</v>
      </c>
      <c r="E1731" t="s">
        <v>190</v>
      </c>
      <c r="F1731" t="s">
        <v>181</v>
      </c>
      <c r="G1731" t="s">
        <v>169</v>
      </c>
      <c r="H1731">
        <v>575</v>
      </c>
      <c r="I1731" s="34">
        <f>+POWER_Regional_Daily_20150101_20190305_c11b3312[[#This Row],[Column8]]/100</f>
        <v>5.75</v>
      </c>
      <c r="J1731" s="34"/>
    </row>
    <row r="1732" spans="1:10" x14ac:dyDescent="0.25">
      <c r="A1732" s="34"/>
      <c r="B1732" s="34"/>
      <c r="C1732" t="s">
        <v>271</v>
      </c>
      <c r="D1732" t="s">
        <v>182</v>
      </c>
      <c r="E1732" t="s">
        <v>192</v>
      </c>
      <c r="F1732" t="s">
        <v>211</v>
      </c>
      <c r="G1732" t="s">
        <v>169</v>
      </c>
      <c r="H1732">
        <v>430</v>
      </c>
      <c r="I1732" s="34">
        <f>+POWER_Regional_Daily_20150101_20190305_c11b3312[[#This Row],[Column8]]/100</f>
        <v>4.3</v>
      </c>
      <c r="J1732" s="34"/>
    </row>
    <row r="1733" spans="1:10" x14ac:dyDescent="0.25">
      <c r="A1733" s="34"/>
      <c r="B1733" s="34"/>
      <c r="C1733" t="s">
        <v>271</v>
      </c>
      <c r="D1733" t="s">
        <v>182</v>
      </c>
      <c r="E1733" t="s">
        <v>194</v>
      </c>
      <c r="F1733" t="s">
        <v>183</v>
      </c>
      <c r="G1733" t="s">
        <v>169</v>
      </c>
      <c r="H1733">
        <v>586</v>
      </c>
      <c r="I1733" s="34">
        <f>+POWER_Regional_Daily_20150101_20190305_c11b3312[[#This Row],[Column8]]/100</f>
        <v>5.86</v>
      </c>
      <c r="J1733" s="34"/>
    </row>
    <row r="1734" spans="1:10" x14ac:dyDescent="0.25">
      <c r="A1734" s="34"/>
      <c r="B1734" s="34"/>
      <c r="C1734" t="s">
        <v>271</v>
      </c>
      <c r="D1734" t="s">
        <v>182</v>
      </c>
      <c r="E1734" t="s">
        <v>196</v>
      </c>
      <c r="F1734" t="s">
        <v>209</v>
      </c>
      <c r="G1734" t="s">
        <v>169</v>
      </c>
      <c r="H1734">
        <v>531</v>
      </c>
      <c r="I1734" s="34">
        <f>+POWER_Regional_Daily_20150101_20190305_c11b3312[[#This Row],[Column8]]/100</f>
        <v>5.31</v>
      </c>
      <c r="J1734" s="34"/>
    </row>
    <row r="1735" spans="1:10" x14ac:dyDescent="0.25">
      <c r="A1735" s="34"/>
      <c r="B1735" s="34"/>
      <c r="C1735" t="s">
        <v>271</v>
      </c>
      <c r="D1735" t="s">
        <v>182</v>
      </c>
      <c r="E1735" t="s">
        <v>198</v>
      </c>
      <c r="F1735" t="s">
        <v>197</v>
      </c>
      <c r="G1735" t="s">
        <v>169</v>
      </c>
      <c r="H1735">
        <v>458</v>
      </c>
      <c r="I1735" s="34">
        <f>+POWER_Regional_Daily_20150101_20190305_c11b3312[[#This Row],[Column8]]/100</f>
        <v>4.58</v>
      </c>
      <c r="J1735" s="34"/>
    </row>
    <row r="1736" spans="1:10" x14ac:dyDescent="0.25">
      <c r="A1736" s="34"/>
      <c r="B1736" s="34"/>
      <c r="C1736" t="s">
        <v>271</v>
      </c>
      <c r="D1736" t="s">
        <v>182</v>
      </c>
      <c r="E1736" t="s">
        <v>199</v>
      </c>
      <c r="F1736" t="s">
        <v>187</v>
      </c>
      <c r="G1736" t="s">
        <v>169</v>
      </c>
      <c r="H1736">
        <v>-999</v>
      </c>
      <c r="I1736" s="34">
        <f>+POWER_Regional_Daily_20150101_20190305_c11b3312[[#This Row],[Column8]]/100</f>
        <v>-9.99</v>
      </c>
      <c r="J1736" s="34"/>
    </row>
    <row r="1737" spans="1:10" x14ac:dyDescent="0.25">
      <c r="A1737" s="34"/>
      <c r="B1737" s="34"/>
      <c r="C1737" t="s">
        <v>271</v>
      </c>
      <c r="D1737" t="s">
        <v>182</v>
      </c>
      <c r="E1737" t="s">
        <v>200</v>
      </c>
      <c r="F1737" t="s">
        <v>187</v>
      </c>
      <c r="G1737" t="s">
        <v>169</v>
      </c>
      <c r="H1737">
        <v>-999</v>
      </c>
      <c r="I1737" s="34">
        <f>+POWER_Regional_Daily_20150101_20190305_c11b3312[[#This Row],[Column8]]/100</f>
        <v>-9.99</v>
      </c>
      <c r="J1737" s="34"/>
    </row>
    <row r="1738" spans="1:10" x14ac:dyDescent="0.25">
      <c r="A1738" s="34"/>
      <c r="B1738" s="34"/>
      <c r="C1738" t="s">
        <v>271</v>
      </c>
      <c r="D1738" t="s">
        <v>182</v>
      </c>
      <c r="E1738" t="s">
        <v>202</v>
      </c>
      <c r="F1738" t="s">
        <v>227</v>
      </c>
      <c r="G1738" t="s">
        <v>169</v>
      </c>
      <c r="H1738">
        <v>344</v>
      </c>
      <c r="I1738" s="34">
        <f>+POWER_Regional_Daily_20150101_20190305_c11b3312[[#This Row],[Column8]]/100</f>
        <v>3.44</v>
      </c>
      <c r="J1738" s="34"/>
    </row>
    <row r="1739" spans="1:10" x14ac:dyDescent="0.25">
      <c r="A1739" s="34"/>
      <c r="B1739" s="34"/>
      <c r="C1739" t="s">
        <v>271</v>
      </c>
      <c r="D1739" t="s">
        <v>182</v>
      </c>
      <c r="E1739" t="s">
        <v>203</v>
      </c>
      <c r="F1739" t="s">
        <v>216</v>
      </c>
      <c r="G1739" t="s">
        <v>169</v>
      </c>
      <c r="H1739">
        <v>335</v>
      </c>
      <c r="I1739" s="34">
        <f>+POWER_Regional_Daily_20150101_20190305_c11b3312[[#This Row],[Column8]]/100</f>
        <v>3.35</v>
      </c>
      <c r="J1739" s="34"/>
    </row>
    <row r="1740" spans="1:10" x14ac:dyDescent="0.25">
      <c r="A1740" s="34"/>
      <c r="B1740" s="34"/>
      <c r="C1740" t="s">
        <v>271</v>
      </c>
      <c r="D1740" t="s">
        <v>182</v>
      </c>
      <c r="E1740" t="s">
        <v>205</v>
      </c>
      <c r="F1740" t="s">
        <v>235</v>
      </c>
      <c r="G1740" t="s">
        <v>169</v>
      </c>
      <c r="H1740">
        <v>519</v>
      </c>
      <c r="I1740" s="34">
        <f>+POWER_Regional_Daily_20150101_20190305_c11b3312[[#This Row],[Column8]]/100</f>
        <v>5.19</v>
      </c>
      <c r="J1740" s="34"/>
    </row>
    <row r="1741" spans="1:10" x14ac:dyDescent="0.25">
      <c r="A1741" s="34"/>
      <c r="B1741" s="34"/>
      <c r="C1741" t="s">
        <v>271</v>
      </c>
      <c r="D1741" t="s">
        <v>182</v>
      </c>
      <c r="E1741" t="s">
        <v>207</v>
      </c>
      <c r="F1741" t="s">
        <v>239</v>
      </c>
      <c r="G1741" t="s">
        <v>169</v>
      </c>
      <c r="H1741">
        <v>367</v>
      </c>
      <c r="I1741" s="34">
        <f>+POWER_Regional_Daily_20150101_20190305_c11b3312[[#This Row],[Column8]]/100</f>
        <v>3.67</v>
      </c>
      <c r="J1741" s="34"/>
    </row>
    <row r="1742" spans="1:10" x14ac:dyDescent="0.25">
      <c r="A1742" s="34"/>
      <c r="B1742" s="34"/>
      <c r="C1742" t="s">
        <v>271</v>
      </c>
      <c r="D1742" t="s">
        <v>182</v>
      </c>
      <c r="E1742" t="s">
        <v>208</v>
      </c>
      <c r="F1742" t="s">
        <v>231</v>
      </c>
      <c r="G1742" t="s">
        <v>169</v>
      </c>
      <c r="H1742">
        <v>493</v>
      </c>
      <c r="I1742" s="34">
        <f>+POWER_Regional_Daily_20150101_20190305_c11b3312[[#This Row],[Column8]]/100</f>
        <v>4.93</v>
      </c>
      <c r="J1742" s="34"/>
    </row>
    <row r="1743" spans="1:10" x14ac:dyDescent="0.25">
      <c r="A1743" s="34"/>
      <c r="B1743" s="34"/>
      <c r="C1743" t="s">
        <v>271</v>
      </c>
      <c r="D1743" t="s">
        <v>182</v>
      </c>
      <c r="E1743" t="s">
        <v>210</v>
      </c>
      <c r="F1743" t="s">
        <v>222</v>
      </c>
      <c r="G1743" t="s">
        <v>169</v>
      </c>
      <c r="H1743">
        <v>556</v>
      </c>
      <c r="I1743" s="34">
        <f>+POWER_Regional_Daily_20150101_20190305_c11b3312[[#This Row],[Column8]]/100</f>
        <v>5.56</v>
      </c>
      <c r="J1743" s="34"/>
    </row>
    <row r="1744" spans="1:10" x14ac:dyDescent="0.25">
      <c r="A1744" s="34"/>
      <c r="B1744" s="34"/>
      <c r="C1744" t="s">
        <v>271</v>
      </c>
      <c r="D1744" t="s">
        <v>182</v>
      </c>
      <c r="E1744" t="s">
        <v>212</v>
      </c>
      <c r="F1744" t="s">
        <v>204</v>
      </c>
      <c r="G1744" t="s">
        <v>169</v>
      </c>
      <c r="H1744">
        <v>441</v>
      </c>
      <c r="I1744" s="34">
        <f>+POWER_Regional_Daily_20150101_20190305_c11b3312[[#This Row],[Column8]]/100</f>
        <v>4.41</v>
      </c>
      <c r="J1744" s="34"/>
    </row>
    <row r="1745" spans="1:10" x14ac:dyDescent="0.25">
      <c r="A1745" s="34"/>
      <c r="B1745" s="34"/>
      <c r="C1745" t="s">
        <v>271</v>
      </c>
      <c r="D1745" t="s">
        <v>182</v>
      </c>
      <c r="E1745" t="s">
        <v>214</v>
      </c>
      <c r="F1745" t="s">
        <v>223</v>
      </c>
      <c r="G1745" t="s">
        <v>169</v>
      </c>
      <c r="H1745">
        <v>499</v>
      </c>
      <c r="I1745" s="34">
        <f>+POWER_Regional_Daily_20150101_20190305_c11b3312[[#This Row],[Column8]]/100</f>
        <v>4.99</v>
      </c>
      <c r="J1745" s="34"/>
    </row>
    <row r="1746" spans="1:10" x14ac:dyDescent="0.25">
      <c r="A1746" s="34"/>
      <c r="B1746" s="34"/>
      <c r="C1746" t="s">
        <v>271</v>
      </c>
      <c r="D1746" t="s">
        <v>182</v>
      </c>
      <c r="E1746" t="s">
        <v>215</v>
      </c>
      <c r="F1746" t="s">
        <v>233</v>
      </c>
      <c r="G1746" t="s">
        <v>169</v>
      </c>
      <c r="H1746">
        <v>469</v>
      </c>
      <c r="I1746" s="34">
        <f>+POWER_Regional_Daily_20150101_20190305_c11b3312[[#This Row],[Column8]]/100</f>
        <v>4.6900000000000004</v>
      </c>
      <c r="J1746" s="34"/>
    </row>
    <row r="1747" spans="1:10" x14ac:dyDescent="0.25">
      <c r="A1747" s="34"/>
      <c r="B1747" s="34"/>
      <c r="C1747" t="s">
        <v>271</v>
      </c>
      <c r="D1747" t="s">
        <v>182</v>
      </c>
      <c r="E1747" t="s">
        <v>217</v>
      </c>
      <c r="F1747" t="s">
        <v>221</v>
      </c>
      <c r="G1747" t="s">
        <v>169</v>
      </c>
      <c r="H1747">
        <v>426</v>
      </c>
      <c r="I1747" s="34">
        <f>+POWER_Regional_Daily_20150101_20190305_c11b3312[[#This Row],[Column8]]/100</f>
        <v>4.26</v>
      </c>
      <c r="J1747" s="34"/>
    </row>
    <row r="1748" spans="1:10" x14ac:dyDescent="0.25">
      <c r="A1748" s="34"/>
      <c r="B1748" s="34"/>
      <c r="C1748" t="s">
        <v>271</v>
      </c>
      <c r="D1748" t="s">
        <v>182</v>
      </c>
      <c r="E1748" t="s">
        <v>219</v>
      </c>
      <c r="F1748" t="s">
        <v>197</v>
      </c>
      <c r="G1748" t="s">
        <v>169</v>
      </c>
      <c r="H1748">
        <v>455</v>
      </c>
      <c r="I1748" s="34">
        <f>+POWER_Regional_Daily_20150101_20190305_c11b3312[[#This Row],[Column8]]/100</f>
        <v>4.55</v>
      </c>
      <c r="J1748" s="34"/>
    </row>
    <row r="1749" spans="1:10" x14ac:dyDescent="0.25">
      <c r="A1749" s="34"/>
      <c r="B1749" s="34"/>
      <c r="C1749" t="s">
        <v>271</v>
      </c>
      <c r="D1749" t="s">
        <v>184</v>
      </c>
      <c r="E1749" t="s">
        <v>167</v>
      </c>
      <c r="F1749" t="s">
        <v>213</v>
      </c>
      <c r="G1749" t="s">
        <v>169</v>
      </c>
      <c r="H1749">
        <v>562</v>
      </c>
      <c r="I1749" s="34">
        <f>+POWER_Regional_Daily_20150101_20190305_c11b3312[[#This Row],[Column8]]/100</f>
        <v>5.62</v>
      </c>
      <c r="J1749" s="34"/>
    </row>
    <row r="1750" spans="1:10" x14ac:dyDescent="0.25">
      <c r="A1750" s="34"/>
      <c r="B1750" s="34"/>
      <c r="C1750" t="s">
        <v>271</v>
      </c>
      <c r="D1750" t="s">
        <v>184</v>
      </c>
      <c r="E1750" t="s">
        <v>170</v>
      </c>
      <c r="F1750" t="s">
        <v>193</v>
      </c>
      <c r="G1750" t="s">
        <v>169</v>
      </c>
      <c r="H1750">
        <v>405</v>
      </c>
      <c r="I1750" s="34">
        <f>+POWER_Regional_Daily_20150101_20190305_c11b3312[[#This Row],[Column8]]/100</f>
        <v>4.05</v>
      </c>
      <c r="J1750" s="34"/>
    </row>
    <row r="1751" spans="1:10" x14ac:dyDescent="0.25">
      <c r="A1751" s="34"/>
      <c r="B1751" s="34"/>
      <c r="C1751" t="s">
        <v>271</v>
      </c>
      <c r="D1751" t="s">
        <v>184</v>
      </c>
      <c r="E1751" t="s">
        <v>172</v>
      </c>
      <c r="F1751" t="s">
        <v>237</v>
      </c>
      <c r="G1751" t="s">
        <v>169</v>
      </c>
      <c r="H1751">
        <v>272</v>
      </c>
      <c r="I1751" s="34">
        <f>+POWER_Regional_Daily_20150101_20190305_c11b3312[[#This Row],[Column8]]/100</f>
        <v>2.72</v>
      </c>
      <c r="J1751" s="34"/>
    </row>
    <row r="1752" spans="1:10" x14ac:dyDescent="0.25">
      <c r="A1752" s="34"/>
      <c r="B1752" s="34"/>
      <c r="C1752" t="s">
        <v>271</v>
      </c>
      <c r="D1752" t="s">
        <v>184</v>
      </c>
      <c r="E1752" t="s">
        <v>174</v>
      </c>
      <c r="F1752" t="s">
        <v>218</v>
      </c>
      <c r="G1752" t="s">
        <v>169</v>
      </c>
      <c r="H1752">
        <v>595</v>
      </c>
      <c r="I1752" s="34">
        <f>+POWER_Regional_Daily_20150101_20190305_c11b3312[[#This Row],[Column8]]/100</f>
        <v>5.95</v>
      </c>
      <c r="J1752" s="34"/>
    </row>
    <row r="1753" spans="1:10" x14ac:dyDescent="0.25">
      <c r="A1753" s="34"/>
      <c r="B1753" s="34"/>
      <c r="C1753" t="s">
        <v>271</v>
      </c>
      <c r="D1753" t="s">
        <v>184</v>
      </c>
      <c r="E1753" t="s">
        <v>175</v>
      </c>
      <c r="F1753" t="s">
        <v>187</v>
      </c>
      <c r="G1753" t="s">
        <v>169</v>
      </c>
      <c r="H1753">
        <v>-999</v>
      </c>
      <c r="I1753" s="34">
        <f>+POWER_Regional_Daily_20150101_20190305_c11b3312[[#This Row],[Column8]]/100</f>
        <v>-9.99</v>
      </c>
      <c r="J1753" s="34"/>
    </row>
    <row r="1754" spans="1:10" x14ac:dyDescent="0.25">
      <c r="A1754" s="34"/>
      <c r="B1754" s="34"/>
      <c r="C1754" t="s">
        <v>271</v>
      </c>
      <c r="D1754" t="s">
        <v>184</v>
      </c>
      <c r="E1754" t="s">
        <v>177</v>
      </c>
      <c r="F1754" t="s">
        <v>195</v>
      </c>
      <c r="G1754" t="s">
        <v>169</v>
      </c>
      <c r="H1754">
        <v>484</v>
      </c>
      <c r="I1754" s="34">
        <f>+POWER_Regional_Daily_20150101_20190305_c11b3312[[#This Row],[Column8]]/100</f>
        <v>4.84</v>
      </c>
      <c r="J1754" s="34"/>
    </row>
    <row r="1755" spans="1:10" x14ac:dyDescent="0.25">
      <c r="A1755" s="34"/>
      <c r="B1755" s="34"/>
      <c r="C1755" t="s">
        <v>271</v>
      </c>
      <c r="D1755" t="s">
        <v>184</v>
      </c>
      <c r="E1755" t="s">
        <v>178</v>
      </c>
      <c r="F1755" t="s">
        <v>189</v>
      </c>
      <c r="G1755" t="s">
        <v>169</v>
      </c>
      <c r="H1755">
        <v>602</v>
      </c>
      <c r="I1755" s="34">
        <f>+POWER_Regional_Daily_20150101_20190305_c11b3312[[#This Row],[Column8]]/100</f>
        <v>6.02</v>
      </c>
      <c r="J1755" s="34"/>
    </row>
    <row r="1756" spans="1:10" x14ac:dyDescent="0.25">
      <c r="A1756" s="34"/>
      <c r="B1756" s="34"/>
      <c r="C1756" t="s">
        <v>271</v>
      </c>
      <c r="D1756" t="s">
        <v>184</v>
      </c>
      <c r="E1756" t="s">
        <v>180</v>
      </c>
      <c r="F1756" t="s">
        <v>246</v>
      </c>
      <c r="G1756" t="s">
        <v>169</v>
      </c>
      <c r="H1756">
        <v>386</v>
      </c>
      <c r="I1756" s="34">
        <f>+POWER_Regional_Daily_20150101_20190305_c11b3312[[#This Row],[Column8]]/100</f>
        <v>3.86</v>
      </c>
      <c r="J1756" s="34"/>
    </row>
    <row r="1757" spans="1:10" x14ac:dyDescent="0.25">
      <c r="A1757" s="34"/>
      <c r="B1757" s="34"/>
      <c r="C1757" t="s">
        <v>271</v>
      </c>
      <c r="D1757" t="s">
        <v>184</v>
      </c>
      <c r="E1757" t="s">
        <v>182</v>
      </c>
      <c r="F1757" t="s">
        <v>189</v>
      </c>
      <c r="G1757" t="s">
        <v>169</v>
      </c>
      <c r="H1757">
        <v>598</v>
      </c>
      <c r="I1757" s="34">
        <f>+POWER_Regional_Daily_20150101_20190305_c11b3312[[#This Row],[Column8]]/100</f>
        <v>5.98</v>
      </c>
      <c r="J1757" s="34"/>
    </row>
    <row r="1758" spans="1:10" x14ac:dyDescent="0.25">
      <c r="A1758" s="34"/>
      <c r="B1758" s="34"/>
      <c r="C1758" t="s">
        <v>271</v>
      </c>
      <c r="D1758" t="s">
        <v>184</v>
      </c>
      <c r="E1758" t="s">
        <v>184</v>
      </c>
      <c r="F1758" t="s">
        <v>193</v>
      </c>
      <c r="G1758" t="s">
        <v>169</v>
      </c>
      <c r="H1758">
        <v>402</v>
      </c>
      <c r="I1758" s="34">
        <f>+POWER_Regional_Daily_20150101_20190305_c11b3312[[#This Row],[Column8]]/100</f>
        <v>4.0199999999999996</v>
      </c>
      <c r="J1758" s="34"/>
    </row>
    <row r="1759" spans="1:10" x14ac:dyDescent="0.25">
      <c r="A1759" s="34"/>
      <c r="B1759" s="34"/>
      <c r="C1759" t="s">
        <v>271</v>
      </c>
      <c r="D1759" t="s">
        <v>184</v>
      </c>
      <c r="E1759" t="s">
        <v>186</v>
      </c>
      <c r="F1759" t="s">
        <v>246</v>
      </c>
      <c r="G1759" t="s">
        <v>169</v>
      </c>
      <c r="H1759">
        <v>384</v>
      </c>
      <c r="I1759" s="34">
        <f>+POWER_Regional_Daily_20150101_20190305_c11b3312[[#This Row],[Column8]]/100</f>
        <v>3.84</v>
      </c>
      <c r="J1759" s="34"/>
    </row>
    <row r="1760" spans="1:10" x14ac:dyDescent="0.25">
      <c r="A1760" s="34"/>
      <c r="B1760" s="34"/>
      <c r="C1760" t="s">
        <v>271</v>
      </c>
      <c r="D1760" t="s">
        <v>184</v>
      </c>
      <c r="E1760" t="s">
        <v>188</v>
      </c>
      <c r="F1760" t="s">
        <v>218</v>
      </c>
      <c r="G1760" t="s">
        <v>169</v>
      </c>
      <c r="H1760">
        <v>585</v>
      </c>
      <c r="I1760" s="34">
        <f>+POWER_Regional_Daily_20150101_20190305_c11b3312[[#This Row],[Column8]]/100</f>
        <v>5.85</v>
      </c>
      <c r="J1760" s="34"/>
    </row>
    <row r="1761" spans="1:10" x14ac:dyDescent="0.25">
      <c r="A1761" s="34"/>
      <c r="B1761" s="34"/>
      <c r="C1761" t="s">
        <v>271</v>
      </c>
      <c r="D1761" t="s">
        <v>184</v>
      </c>
      <c r="E1761" t="s">
        <v>190</v>
      </c>
      <c r="F1761" t="s">
        <v>195</v>
      </c>
      <c r="G1761" t="s">
        <v>169</v>
      </c>
      <c r="H1761">
        <v>475</v>
      </c>
      <c r="I1761" s="34">
        <f>+POWER_Regional_Daily_20150101_20190305_c11b3312[[#This Row],[Column8]]/100</f>
        <v>4.75</v>
      </c>
      <c r="J1761" s="34"/>
    </row>
    <row r="1762" spans="1:10" x14ac:dyDescent="0.25">
      <c r="A1762" s="34"/>
      <c r="B1762" s="34"/>
      <c r="C1762" t="s">
        <v>271</v>
      </c>
      <c r="D1762" t="s">
        <v>184</v>
      </c>
      <c r="E1762" t="s">
        <v>192</v>
      </c>
      <c r="F1762" t="s">
        <v>231</v>
      </c>
      <c r="G1762" t="s">
        <v>169</v>
      </c>
      <c r="H1762">
        <v>485</v>
      </c>
      <c r="I1762" s="34">
        <f>+POWER_Regional_Daily_20150101_20190305_c11b3312[[#This Row],[Column8]]/100</f>
        <v>4.8499999999999996</v>
      </c>
      <c r="J1762" s="34"/>
    </row>
    <row r="1763" spans="1:10" x14ac:dyDescent="0.25">
      <c r="A1763" s="34"/>
      <c r="B1763" s="34"/>
      <c r="C1763" t="s">
        <v>271</v>
      </c>
      <c r="D1763" t="s">
        <v>184</v>
      </c>
      <c r="E1763" t="s">
        <v>194</v>
      </c>
      <c r="F1763" t="s">
        <v>222</v>
      </c>
      <c r="G1763" t="s">
        <v>169</v>
      </c>
      <c r="H1763">
        <v>549</v>
      </c>
      <c r="I1763" s="34">
        <f>+POWER_Regional_Daily_20150101_20190305_c11b3312[[#This Row],[Column8]]/100</f>
        <v>5.49</v>
      </c>
      <c r="J1763" s="34"/>
    </row>
    <row r="1764" spans="1:10" x14ac:dyDescent="0.25">
      <c r="A1764" s="34"/>
      <c r="B1764" s="34"/>
      <c r="C1764" t="s">
        <v>271</v>
      </c>
      <c r="D1764" t="s">
        <v>184</v>
      </c>
      <c r="E1764" t="s">
        <v>196</v>
      </c>
      <c r="F1764" t="s">
        <v>222</v>
      </c>
      <c r="G1764" t="s">
        <v>169</v>
      </c>
      <c r="H1764">
        <v>545</v>
      </c>
      <c r="I1764" s="34">
        <f>+POWER_Regional_Daily_20150101_20190305_c11b3312[[#This Row],[Column8]]/100</f>
        <v>5.45</v>
      </c>
      <c r="J1764" s="34"/>
    </row>
    <row r="1765" spans="1:10" x14ac:dyDescent="0.25">
      <c r="A1765" s="34"/>
      <c r="B1765" s="34"/>
      <c r="C1765" t="s">
        <v>271</v>
      </c>
      <c r="D1765" t="s">
        <v>184</v>
      </c>
      <c r="E1765" t="s">
        <v>198</v>
      </c>
      <c r="F1765" t="s">
        <v>181</v>
      </c>
      <c r="G1765" t="s">
        <v>169</v>
      </c>
      <c r="H1765">
        <v>561</v>
      </c>
      <c r="I1765" s="34">
        <f>+POWER_Regional_Daily_20150101_20190305_c11b3312[[#This Row],[Column8]]/100</f>
        <v>5.61</v>
      </c>
      <c r="J1765" s="34"/>
    </row>
    <row r="1766" spans="1:10" x14ac:dyDescent="0.25">
      <c r="A1766" s="34"/>
      <c r="B1766" s="34"/>
      <c r="C1766" t="s">
        <v>271</v>
      </c>
      <c r="D1766" t="s">
        <v>184</v>
      </c>
      <c r="E1766" t="s">
        <v>199</v>
      </c>
      <c r="F1766" t="s">
        <v>211</v>
      </c>
      <c r="G1766" t="s">
        <v>169</v>
      </c>
      <c r="H1766">
        <v>426</v>
      </c>
      <c r="I1766" s="34">
        <f>+POWER_Regional_Daily_20150101_20190305_c11b3312[[#This Row],[Column8]]/100</f>
        <v>4.26</v>
      </c>
      <c r="J1766" s="34"/>
    </row>
    <row r="1767" spans="1:10" x14ac:dyDescent="0.25">
      <c r="A1767" s="34"/>
      <c r="B1767" s="34"/>
      <c r="C1767" t="s">
        <v>271</v>
      </c>
      <c r="D1767" t="s">
        <v>184</v>
      </c>
      <c r="E1767" t="s">
        <v>200</v>
      </c>
      <c r="F1767" t="s">
        <v>223</v>
      </c>
      <c r="G1767" t="s">
        <v>169</v>
      </c>
      <c r="H1767">
        <v>493</v>
      </c>
      <c r="I1767" s="34">
        <f>+POWER_Regional_Daily_20150101_20190305_c11b3312[[#This Row],[Column8]]/100</f>
        <v>4.93</v>
      </c>
      <c r="J1767" s="34"/>
    </row>
    <row r="1768" spans="1:10" x14ac:dyDescent="0.25">
      <c r="A1768" s="34"/>
      <c r="B1768" s="34"/>
      <c r="C1768" t="s">
        <v>271</v>
      </c>
      <c r="D1768" t="s">
        <v>184</v>
      </c>
      <c r="E1768" t="s">
        <v>202</v>
      </c>
      <c r="F1768" t="s">
        <v>197</v>
      </c>
      <c r="G1768" t="s">
        <v>169</v>
      </c>
      <c r="H1768">
        <v>442</v>
      </c>
      <c r="I1768" s="34">
        <f>+POWER_Regional_Daily_20150101_20190305_c11b3312[[#This Row],[Column8]]/100</f>
        <v>4.42</v>
      </c>
      <c r="J1768" s="34"/>
    </row>
    <row r="1769" spans="1:10" x14ac:dyDescent="0.25">
      <c r="A1769" s="34"/>
      <c r="B1769" s="34"/>
      <c r="C1769" t="s">
        <v>271</v>
      </c>
      <c r="D1769" t="s">
        <v>184</v>
      </c>
      <c r="E1769" t="s">
        <v>203</v>
      </c>
      <c r="F1769" t="s">
        <v>187</v>
      </c>
      <c r="G1769" t="s">
        <v>169</v>
      </c>
      <c r="H1769">
        <v>-999</v>
      </c>
      <c r="I1769" s="34">
        <f>+POWER_Regional_Daily_20150101_20190305_c11b3312[[#This Row],[Column8]]/100</f>
        <v>-9.99</v>
      </c>
      <c r="J1769" s="34"/>
    </row>
    <row r="1770" spans="1:10" x14ac:dyDescent="0.25">
      <c r="A1770" s="34"/>
      <c r="B1770" s="34"/>
      <c r="C1770" t="s">
        <v>271</v>
      </c>
      <c r="D1770" t="s">
        <v>184</v>
      </c>
      <c r="E1770" t="s">
        <v>205</v>
      </c>
      <c r="F1770" t="s">
        <v>197</v>
      </c>
      <c r="G1770" t="s">
        <v>169</v>
      </c>
      <c r="H1770">
        <v>437</v>
      </c>
      <c r="I1770" s="34">
        <f>+POWER_Regional_Daily_20150101_20190305_c11b3312[[#This Row],[Column8]]/100</f>
        <v>4.37</v>
      </c>
      <c r="J1770" s="34"/>
    </row>
    <row r="1771" spans="1:10" x14ac:dyDescent="0.25">
      <c r="A1771" s="34"/>
      <c r="B1771" s="34"/>
      <c r="C1771" t="s">
        <v>271</v>
      </c>
      <c r="D1771" t="s">
        <v>184</v>
      </c>
      <c r="E1771" t="s">
        <v>207</v>
      </c>
      <c r="F1771" t="s">
        <v>197</v>
      </c>
      <c r="G1771" t="s">
        <v>169</v>
      </c>
      <c r="H1771">
        <v>437</v>
      </c>
      <c r="I1771" s="34">
        <f>+POWER_Regional_Daily_20150101_20190305_c11b3312[[#This Row],[Column8]]/100</f>
        <v>4.37</v>
      </c>
      <c r="J1771" s="34"/>
    </row>
    <row r="1772" spans="1:10" x14ac:dyDescent="0.25">
      <c r="A1772" s="34"/>
      <c r="B1772" s="34"/>
      <c r="C1772" t="s">
        <v>271</v>
      </c>
      <c r="D1772" t="s">
        <v>184</v>
      </c>
      <c r="E1772" t="s">
        <v>208</v>
      </c>
      <c r="F1772" t="s">
        <v>243</v>
      </c>
      <c r="G1772" t="s">
        <v>169</v>
      </c>
      <c r="H1772">
        <v>312</v>
      </c>
      <c r="I1772" s="34">
        <f>+POWER_Regional_Daily_20150101_20190305_c11b3312[[#This Row],[Column8]]/100</f>
        <v>3.12</v>
      </c>
      <c r="J1772" s="34"/>
    </row>
    <row r="1773" spans="1:10" x14ac:dyDescent="0.25">
      <c r="A1773" s="34"/>
      <c r="B1773" s="34"/>
      <c r="C1773" t="s">
        <v>271</v>
      </c>
      <c r="D1773" t="s">
        <v>184</v>
      </c>
      <c r="E1773" t="s">
        <v>210</v>
      </c>
      <c r="F1773" t="s">
        <v>211</v>
      </c>
      <c r="G1773" t="s">
        <v>169</v>
      </c>
      <c r="H1773">
        <v>413</v>
      </c>
      <c r="I1773" s="34">
        <f>+POWER_Regional_Daily_20150101_20190305_c11b3312[[#This Row],[Column8]]/100</f>
        <v>4.13</v>
      </c>
      <c r="J1773" s="34"/>
    </row>
    <row r="1774" spans="1:10" x14ac:dyDescent="0.25">
      <c r="A1774" s="34"/>
      <c r="B1774" s="34"/>
      <c r="C1774" t="s">
        <v>271</v>
      </c>
      <c r="D1774" t="s">
        <v>184</v>
      </c>
      <c r="E1774" t="s">
        <v>212</v>
      </c>
      <c r="F1774" t="s">
        <v>181</v>
      </c>
      <c r="G1774" t="s">
        <v>169</v>
      </c>
      <c r="H1774">
        <v>555</v>
      </c>
      <c r="I1774" s="34">
        <f>+POWER_Regional_Daily_20150101_20190305_c11b3312[[#This Row],[Column8]]/100</f>
        <v>5.55</v>
      </c>
      <c r="J1774" s="34"/>
    </row>
    <row r="1775" spans="1:10" x14ac:dyDescent="0.25">
      <c r="A1775" s="34"/>
      <c r="B1775" s="34"/>
      <c r="C1775" t="s">
        <v>271</v>
      </c>
      <c r="D1775" t="s">
        <v>184</v>
      </c>
      <c r="E1775" t="s">
        <v>214</v>
      </c>
      <c r="F1775" t="s">
        <v>223</v>
      </c>
      <c r="G1775" t="s">
        <v>169</v>
      </c>
      <c r="H1775">
        <v>482</v>
      </c>
      <c r="I1775" s="34">
        <f>+POWER_Regional_Daily_20150101_20190305_c11b3312[[#This Row],[Column8]]/100</f>
        <v>4.82</v>
      </c>
      <c r="J1775" s="34"/>
    </row>
    <row r="1776" spans="1:10" x14ac:dyDescent="0.25">
      <c r="A1776" s="34"/>
      <c r="B1776" s="34"/>
      <c r="C1776" t="s">
        <v>271</v>
      </c>
      <c r="D1776" t="s">
        <v>184</v>
      </c>
      <c r="E1776" t="s">
        <v>215</v>
      </c>
      <c r="F1776" t="s">
        <v>189</v>
      </c>
      <c r="G1776" t="s">
        <v>169</v>
      </c>
      <c r="H1776">
        <v>585</v>
      </c>
      <c r="I1776" s="34">
        <f>+POWER_Regional_Daily_20150101_20190305_c11b3312[[#This Row],[Column8]]/100</f>
        <v>5.85</v>
      </c>
      <c r="J1776" s="34"/>
    </row>
    <row r="1777" spans="1:10" x14ac:dyDescent="0.25">
      <c r="A1777" s="34"/>
      <c r="B1777" s="34"/>
      <c r="C1777" t="s">
        <v>271</v>
      </c>
      <c r="D1777" t="s">
        <v>184</v>
      </c>
      <c r="E1777" t="s">
        <v>217</v>
      </c>
      <c r="F1777" t="s">
        <v>218</v>
      </c>
      <c r="G1777" t="s">
        <v>169</v>
      </c>
      <c r="H1777">
        <v>575</v>
      </c>
      <c r="I1777" s="34">
        <f>+POWER_Regional_Daily_20150101_20190305_c11b3312[[#This Row],[Column8]]/100</f>
        <v>5.75</v>
      </c>
      <c r="J1777" s="34"/>
    </row>
    <row r="1778" spans="1:10" x14ac:dyDescent="0.25">
      <c r="A1778" s="34"/>
      <c r="B1778" s="34"/>
      <c r="C1778" t="s">
        <v>271</v>
      </c>
      <c r="D1778" t="s">
        <v>184</v>
      </c>
      <c r="E1778" t="s">
        <v>219</v>
      </c>
      <c r="F1778" t="s">
        <v>235</v>
      </c>
      <c r="G1778" t="s">
        <v>169</v>
      </c>
      <c r="H1778">
        <v>488</v>
      </c>
      <c r="I1778" s="34">
        <f>+POWER_Regional_Daily_20150101_20190305_c11b3312[[#This Row],[Column8]]/100</f>
        <v>4.88</v>
      </c>
      <c r="J1778" s="34"/>
    </row>
    <row r="1779" spans="1:10" x14ac:dyDescent="0.25">
      <c r="A1779" s="34"/>
      <c r="B1779" s="34"/>
      <c r="C1779" t="s">
        <v>271</v>
      </c>
      <c r="D1779" t="s">
        <v>184</v>
      </c>
      <c r="E1779" t="s">
        <v>220</v>
      </c>
      <c r="F1779" t="s">
        <v>183</v>
      </c>
      <c r="G1779" t="s">
        <v>169</v>
      </c>
      <c r="H1779">
        <v>559</v>
      </c>
      <c r="I1779" s="34">
        <f>+POWER_Regional_Daily_20150101_20190305_c11b3312[[#This Row],[Column8]]/100</f>
        <v>5.59</v>
      </c>
      <c r="J1779" s="34"/>
    </row>
    <row r="1780" spans="1:10" x14ac:dyDescent="0.25">
      <c r="A1780" s="34"/>
      <c r="B1780" s="34"/>
      <c r="C1780" t="s">
        <v>271</v>
      </c>
      <c r="D1780" t="s">
        <v>186</v>
      </c>
      <c r="E1780" t="s">
        <v>167</v>
      </c>
      <c r="F1780" t="s">
        <v>230</v>
      </c>
      <c r="G1780" t="s">
        <v>169</v>
      </c>
      <c r="H1780">
        <v>360</v>
      </c>
      <c r="I1780" s="34">
        <f>+POWER_Regional_Daily_20150101_20190305_c11b3312[[#This Row],[Column8]]/100</f>
        <v>3.6</v>
      </c>
      <c r="J1780" s="34"/>
    </row>
    <row r="1781" spans="1:10" x14ac:dyDescent="0.25">
      <c r="A1781" s="34"/>
      <c r="B1781" s="34"/>
      <c r="C1781" t="s">
        <v>271</v>
      </c>
      <c r="D1781" t="s">
        <v>186</v>
      </c>
      <c r="E1781" t="s">
        <v>170</v>
      </c>
      <c r="F1781" t="s">
        <v>222</v>
      </c>
      <c r="G1781" t="s">
        <v>169</v>
      </c>
      <c r="H1781">
        <v>533</v>
      </c>
      <c r="I1781" s="34">
        <f>+POWER_Regional_Daily_20150101_20190305_c11b3312[[#This Row],[Column8]]/100</f>
        <v>5.33</v>
      </c>
      <c r="J1781" s="34"/>
    </row>
    <row r="1782" spans="1:10" x14ac:dyDescent="0.25">
      <c r="A1782" s="34"/>
      <c r="B1782" s="34"/>
      <c r="C1782" t="s">
        <v>271</v>
      </c>
      <c r="D1782" t="s">
        <v>186</v>
      </c>
      <c r="E1782" t="s">
        <v>172</v>
      </c>
      <c r="F1782" t="s">
        <v>221</v>
      </c>
      <c r="G1782" t="s">
        <v>169</v>
      </c>
      <c r="H1782">
        <v>403</v>
      </c>
      <c r="I1782" s="34">
        <f>+POWER_Regional_Daily_20150101_20190305_c11b3312[[#This Row],[Column8]]/100</f>
        <v>4.03</v>
      </c>
      <c r="J1782" s="34"/>
    </row>
    <row r="1783" spans="1:10" x14ac:dyDescent="0.25">
      <c r="A1783" s="34"/>
      <c r="B1783" s="34"/>
      <c r="C1783" t="s">
        <v>271</v>
      </c>
      <c r="D1783" t="s">
        <v>186</v>
      </c>
      <c r="E1783" t="s">
        <v>174</v>
      </c>
      <c r="F1783" t="s">
        <v>181</v>
      </c>
      <c r="G1783" t="s">
        <v>169</v>
      </c>
      <c r="H1783">
        <v>551</v>
      </c>
      <c r="I1783" s="34">
        <f>+POWER_Regional_Daily_20150101_20190305_c11b3312[[#This Row],[Column8]]/100</f>
        <v>5.51</v>
      </c>
      <c r="J1783" s="34"/>
    </row>
    <row r="1784" spans="1:10" x14ac:dyDescent="0.25">
      <c r="A1784" s="34"/>
      <c r="B1784" s="34"/>
      <c r="C1784" t="s">
        <v>271</v>
      </c>
      <c r="D1784" t="s">
        <v>186</v>
      </c>
      <c r="E1784" t="s">
        <v>175</v>
      </c>
      <c r="F1784" t="s">
        <v>209</v>
      </c>
      <c r="G1784" t="s">
        <v>169</v>
      </c>
      <c r="H1784">
        <v>501</v>
      </c>
      <c r="I1784" s="34">
        <f>+POWER_Regional_Daily_20150101_20190305_c11b3312[[#This Row],[Column8]]/100</f>
        <v>5.01</v>
      </c>
      <c r="J1784" s="34"/>
    </row>
    <row r="1785" spans="1:10" x14ac:dyDescent="0.25">
      <c r="A1785" s="34"/>
      <c r="B1785" s="34"/>
      <c r="C1785" t="s">
        <v>271</v>
      </c>
      <c r="D1785" t="s">
        <v>186</v>
      </c>
      <c r="E1785" t="s">
        <v>177</v>
      </c>
      <c r="F1785" t="s">
        <v>187</v>
      </c>
      <c r="G1785" t="s">
        <v>169</v>
      </c>
      <c r="H1785">
        <v>-999</v>
      </c>
      <c r="I1785" s="34">
        <f>+POWER_Regional_Daily_20150101_20190305_c11b3312[[#This Row],[Column8]]/100</f>
        <v>-9.99</v>
      </c>
      <c r="J1785" s="34"/>
    </row>
    <row r="1786" spans="1:10" x14ac:dyDescent="0.25">
      <c r="A1786" s="34"/>
      <c r="B1786" s="34"/>
      <c r="C1786" t="s">
        <v>271</v>
      </c>
      <c r="D1786" t="s">
        <v>186</v>
      </c>
      <c r="E1786" t="s">
        <v>178</v>
      </c>
      <c r="F1786" t="s">
        <v>213</v>
      </c>
      <c r="G1786" t="s">
        <v>169</v>
      </c>
      <c r="H1786">
        <v>530</v>
      </c>
      <c r="I1786" s="34">
        <f>+POWER_Regional_Daily_20150101_20190305_c11b3312[[#This Row],[Column8]]/100</f>
        <v>5.3</v>
      </c>
      <c r="J1786" s="34"/>
    </row>
    <row r="1787" spans="1:10" x14ac:dyDescent="0.25">
      <c r="A1787" s="34"/>
      <c r="B1787" s="34"/>
      <c r="C1787" t="s">
        <v>271</v>
      </c>
      <c r="D1787" t="s">
        <v>186</v>
      </c>
      <c r="E1787" t="s">
        <v>180</v>
      </c>
      <c r="F1787" t="s">
        <v>224</v>
      </c>
      <c r="G1787" t="s">
        <v>169</v>
      </c>
      <c r="H1787">
        <v>432</v>
      </c>
      <c r="I1787" s="34">
        <f>+POWER_Regional_Daily_20150101_20190305_c11b3312[[#This Row],[Column8]]/100</f>
        <v>4.32</v>
      </c>
      <c r="J1787" s="34"/>
    </row>
    <row r="1788" spans="1:10" x14ac:dyDescent="0.25">
      <c r="A1788" s="34"/>
      <c r="B1788" s="34"/>
      <c r="C1788" t="s">
        <v>271</v>
      </c>
      <c r="D1788" t="s">
        <v>186</v>
      </c>
      <c r="E1788" t="s">
        <v>182</v>
      </c>
      <c r="F1788" t="s">
        <v>256</v>
      </c>
      <c r="G1788" t="s">
        <v>169</v>
      </c>
      <c r="H1788">
        <v>220</v>
      </c>
      <c r="I1788" s="34">
        <f>+POWER_Regional_Daily_20150101_20190305_c11b3312[[#This Row],[Column8]]/100</f>
        <v>2.2000000000000002</v>
      </c>
      <c r="J1788" s="34"/>
    </row>
    <row r="1789" spans="1:10" x14ac:dyDescent="0.25">
      <c r="A1789" s="34"/>
      <c r="B1789" s="34"/>
      <c r="C1789" t="s">
        <v>271</v>
      </c>
      <c r="D1789" t="s">
        <v>186</v>
      </c>
      <c r="E1789" t="s">
        <v>184</v>
      </c>
      <c r="F1789" t="s">
        <v>197</v>
      </c>
      <c r="G1789" t="s">
        <v>169</v>
      </c>
      <c r="H1789">
        <v>425</v>
      </c>
      <c r="I1789" s="34">
        <f>+POWER_Regional_Daily_20150101_20190305_c11b3312[[#This Row],[Column8]]/100</f>
        <v>4.25</v>
      </c>
      <c r="J1789" s="34"/>
    </row>
    <row r="1790" spans="1:10" x14ac:dyDescent="0.25">
      <c r="A1790" s="34"/>
      <c r="B1790" s="34"/>
      <c r="C1790" t="s">
        <v>271</v>
      </c>
      <c r="D1790" t="s">
        <v>186</v>
      </c>
      <c r="E1790" t="s">
        <v>186</v>
      </c>
      <c r="F1790" t="s">
        <v>195</v>
      </c>
      <c r="G1790" t="s">
        <v>169</v>
      </c>
      <c r="H1790">
        <v>452</v>
      </c>
      <c r="I1790" s="34">
        <f>+POWER_Regional_Daily_20150101_20190305_c11b3312[[#This Row],[Column8]]/100</f>
        <v>4.5199999999999996</v>
      </c>
      <c r="J1790" s="34"/>
    </row>
    <row r="1791" spans="1:10" x14ac:dyDescent="0.25">
      <c r="A1791" s="34"/>
      <c r="B1791" s="34"/>
      <c r="C1791" t="s">
        <v>271</v>
      </c>
      <c r="D1791" t="s">
        <v>186</v>
      </c>
      <c r="E1791" t="s">
        <v>188</v>
      </c>
      <c r="F1791" t="s">
        <v>228</v>
      </c>
      <c r="G1791" t="s">
        <v>169</v>
      </c>
      <c r="H1791">
        <v>254</v>
      </c>
      <c r="I1791" s="34">
        <f>+POWER_Regional_Daily_20150101_20190305_c11b3312[[#This Row],[Column8]]/100</f>
        <v>2.54</v>
      </c>
      <c r="J1791" s="34"/>
    </row>
    <row r="1792" spans="1:10" x14ac:dyDescent="0.25">
      <c r="A1792" s="34"/>
      <c r="B1792" s="34"/>
      <c r="C1792" t="s">
        <v>271</v>
      </c>
      <c r="D1792" t="s">
        <v>186</v>
      </c>
      <c r="E1792" t="s">
        <v>190</v>
      </c>
      <c r="F1792" t="s">
        <v>216</v>
      </c>
      <c r="G1792" t="s">
        <v>169</v>
      </c>
      <c r="H1792">
        <v>307</v>
      </c>
      <c r="I1792" s="34">
        <f>+POWER_Regional_Daily_20150101_20190305_c11b3312[[#This Row],[Column8]]/100</f>
        <v>3.07</v>
      </c>
      <c r="J1792" s="34"/>
    </row>
    <row r="1793" spans="1:10" x14ac:dyDescent="0.25">
      <c r="A1793" s="34"/>
      <c r="B1793" s="34"/>
      <c r="C1793" t="s">
        <v>271</v>
      </c>
      <c r="D1793" t="s">
        <v>186</v>
      </c>
      <c r="E1793" t="s">
        <v>192</v>
      </c>
      <c r="F1793" t="s">
        <v>211</v>
      </c>
      <c r="G1793" t="s">
        <v>169</v>
      </c>
      <c r="H1793">
        <v>400</v>
      </c>
      <c r="I1793" s="34">
        <f>+POWER_Regional_Daily_20150101_20190305_c11b3312[[#This Row],[Column8]]/100</f>
        <v>4</v>
      </c>
      <c r="J1793" s="34"/>
    </row>
    <row r="1794" spans="1:10" x14ac:dyDescent="0.25">
      <c r="A1794" s="34"/>
      <c r="B1794" s="34"/>
      <c r="C1794" t="s">
        <v>271</v>
      </c>
      <c r="D1794" t="s">
        <v>186</v>
      </c>
      <c r="E1794" t="s">
        <v>194</v>
      </c>
      <c r="F1794" t="s">
        <v>227</v>
      </c>
      <c r="G1794" t="s">
        <v>169</v>
      </c>
      <c r="H1794">
        <v>320</v>
      </c>
      <c r="I1794" s="34">
        <f>+POWER_Regional_Daily_20150101_20190305_c11b3312[[#This Row],[Column8]]/100</f>
        <v>3.2</v>
      </c>
      <c r="J1794" s="34"/>
    </row>
    <row r="1795" spans="1:10" x14ac:dyDescent="0.25">
      <c r="A1795" s="34"/>
      <c r="B1795" s="34"/>
      <c r="C1795" t="s">
        <v>271</v>
      </c>
      <c r="D1795" t="s">
        <v>186</v>
      </c>
      <c r="E1795" t="s">
        <v>196</v>
      </c>
      <c r="F1795" t="s">
        <v>223</v>
      </c>
      <c r="G1795" t="s">
        <v>169</v>
      </c>
      <c r="H1795">
        <v>463</v>
      </c>
      <c r="I1795" s="34">
        <f>+POWER_Regional_Daily_20150101_20190305_c11b3312[[#This Row],[Column8]]/100</f>
        <v>4.63</v>
      </c>
      <c r="J1795" s="34"/>
    </row>
    <row r="1796" spans="1:10" x14ac:dyDescent="0.25">
      <c r="A1796" s="34"/>
      <c r="B1796" s="34"/>
      <c r="C1796" t="s">
        <v>271</v>
      </c>
      <c r="D1796" t="s">
        <v>186</v>
      </c>
      <c r="E1796" t="s">
        <v>198</v>
      </c>
      <c r="F1796" t="s">
        <v>224</v>
      </c>
      <c r="G1796" t="s">
        <v>169</v>
      </c>
      <c r="H1796">
        <v>429</v>
      </c>
      <c r="I1796" s="34">
        <f>+POWER_Regional_Daily_20150101_20190305_c11b3312[[#This Row],[Column8]]/100</f>
        <v>4.29</v>
      </c>
      <c r="J1796" s="34"/>
    </row>
    <row r="1797" spans="1:10" x14ac:dyDescent="0.25">
      <c r="A1797" s="34"/>
      <c r="B1797" s="34"/>
      <c r="C1797" t="s">
        <v>271</v>
      </c>
      <c r="D1797" t="s">
        <v>186</v>
      </c>
      <c r="E1797" t="s">
        <v>199</v>
      </c>
      <c r="F1797" t="s">
        <v>222</v>
      </c>
      <c r="G1797" t="s">
        <v>169</v>
      </c>
      <c r="H1797">
        <v>510</v>
      </c>
      <c r="I1797" s="34">
        <f>+POWER_Regional_Daily_20150101_20190305_c11b3312[[#This Row],[Column8]]/100</f>
        <v>5.0999999999999996</v>
      </c>
      <c r="J1797" s="34"/>
    </row>
    <row r="1798" spans="1:10" x14ac:dyDescent="0.25">
      <c r="A1798" s="34"/>
      <c r="B1798" s="34"/>
      <c r="C1798" t="s">
        <v>271</v>
      </c>
      <c r="D1798" t="s">
        <v>186</v>
      </c>
      <c r="E1798" t="s">
        <v>200</v>
      </c>
      <c r="F1798" t="s">
        <v>204</v>
      </c>
      <c r="G1798" t="s">
        <v>169</v>
      </c>
      <c r="H1798">
        <v>409</v>
      </c>
      <c r="I1798" s="34">
        <f>+POWER_Regional_Daily_20150101_20190305_c11b3312[[#This Row],[Column8]]/100</f>
        <v>4.09</v>
      </c>
      <c r="J1798" s="34"/>
    </row>
    <row r="1799" spans="1:10" x14ac:dyDescent="0.25">
      <c r="A1799" s="34"/>
      <c r="B1799" s="34"/>
      <c r="C1799" t="s">
        <v>271</v>
      </c>
      <c r="D1799" t="s">
        <v>186</v>
      </c>
      <c r="E1799" t="s">
        <v>202</v>
      </c>
      <c r="F1799" t="s">
        <v>223</v>
      </c>
      <c r="G1799" t="s">
        <v>169</v>
      </c>
      <c r="H1799">
        <v>460</v>
      </c>
      <c r="I1799" s="34">
        <f>+POWER_Regional_Daily_20150101_20190305_c11b3312[[#This Row],[Column8]]/100</f>
        <v>4.5999999999999996</v>
      </c>
      <c r="J1799" s="34"/>
    </row>
    <row r="1800" spans="1:10" x14ac:dyDescent="0.25">
      <c r="A1800" s="34"/>
      <c r="B1800" s="34"/>
      <c r="C1800" t="s">
        <v>271</v>
      </c>
      <c r="D1800" t="s">
        <v>186</v>
      </c>
      <c r="E1800" t="s">
        <v>203</v>
      </c>
      <c r="F1800" t="s">
        <v>231</v>
      </c>
      <c r="G1800" t="s">
        <v>169</v>
      </c>
      <c r="H1800">
        <v>450</v>
      </c>
      <c r="I1800" s="34">
        <f>+POWER_Regional_Daily_20150101_20190305_c11b3312[[#This Row],[Column8]]/100</f>
        <v>4.5</v>
      </c>
      <c r="J1800" s="34"/>
    </row>
    <row r="1801" spans="1:10" x14ac:dyDescent="0.25">
      <c r="A1801" s="34"/>
      <c r="B1801" s="34"/>
      <c r="C1801" t="s">
        <v>271</v>
      </c>
      <c r="D1801" t="s">
        <v>186</v>
      </c>
      <c r="E1801" t="s">
        <v>205</v>
      </c>
      <c r="F1801" t="s">
        <v>187</v>
      </c>
      <c r="G1801" t="s">
        <v>169</v>
      </c>
      <c r="H1801">
        <v>-999</v>
      </c>
      <c r="I1801" s="34">
        <f>+POWER_Regional_Daily_20150101_20190305_c11b3312[[#This Row],[Column8]]/100</f>
        <v>-9.99</v>
      </c>
      <c r="J1801" s="34"/>
    </row>
    <row r="1802" spans="1:10" x14ac:dyDescent="0.25">
      <c r="A1802" s="34"/>
      <c r="B1802" s="34"/>
      <c r="C1802" t="s">
        <v>271</v>
      </c>
      <c r="D1802" t="s">
        <v>186</v>
      </c>
      <c r="E1802" t="s">
        <v>207</v>
      </c>
      <c r="F1802" t="s">
        <v>213</v>
      </c>
      <c r="G1802" t="s">
        <v>169</v>
      </c>
      <c r="H1802">
        <v>514</v>
      </c>
      <c r="I1802" s="34">
        <f>+POWER_Regional_Daily_20150101_20190305_c11b3312[[#This Row],[Column8]]/100</f>
        <v>5.14</v>
      </c>
      <c r="J1802" s="34"/>
    </row>
    <row r="1803" spans="1:10" x14ac:dyDescent="0.25">
      <c r="A1803" s="34"/>
      <c r="B1803" s="34"/>
      <c r="C1803" t="s">
        <v>271</v>
      </c>
      <c r="D1803" t="s">
        <v>186</v>
      </c>
      <c r="E1803" t="s">
        <v>208</v>
      </c>
      <c r="F1803" t="s">
        <v>209</v>
      </c>
      <c r="G1803" t="s">
        <v>169</v>
      </c>
      <c r="H1803">
        <v>475</v>
      </c>
      <c r="I1803" s="34">
        <f>+POWER_Regional_Daily_20150101_20190305_c11b3312[[#This Row],[Column8]]/100</f>
        <v>4.75</v>
      </c>
      <c r="J1803" s="34"/>
    </row>
    <row r="1804" spans="1:10" x14ac:dyDescent="0.25">
      <c r="A1804" s="34"/>
      <c r="B1804" s="34"/>
      <c r="C1804" t="s">
        <v>271</v>
      </c>
      <c r="D1804" t="s">
        <v>186</v>
      </c>
      <c r="E1804" t="s">
        <v>210</v>
      </c>
      <c r="F1804" t="s">
        <v>189</v>
      </c>
      <c r="G1804" t="s">
        <v>169</v>
      </c>
      <c r="H1804">
        <v>556</v>
      </c>
      <c r="I1804" s="34">
        <f>+POWER_Regional_Daily_20150101_20190305_c11b3312[[#This Row],[Column8]]/100</f>
        <v>5.56</v>
      </c>
      <c r="J1804" s="34"/>
    </row>
    <row r="1805" spans="1:10" x14ac:dyDescent="0.25">
      <c r="A1805" s="34"/>
      <c r="B1805" s="34"/>
      <c r="C1805" t="s">
        <v>271</v>
      </c>
      <c r="D1805" t="s">
        <v>186</v>
      </c>
      <c r="E1805" t="s">
        <v>212</v>
      </c>
      <c r="F1805" t="s">
        <v>213</v>
      </c>
      <c r="G1805" t="s">
        <v>169</v>
      </c>
      <c r="H1805">
        <v>513</v>
      </c>
      <c r="I1805" s="34">
        <f>+POWER_Regional_Daily_20150101_20190305_c11b3312[[#This Row],[Column8]]/100</f>
        <v>5.13</v>
      </c>
      <c r="J1805" s="34"/>
    </row>
    <row r="1806" spans="1:10" x14ac:dyDescent="0.25">
      <c r="A1806" s="34"/>
      <c r="B1806" s="34"/>
      <c r="C1806" t="s">
        <v>271</v>
      </c>
      <c r="D1806" t="s">
        <v>186</v>
      </c>
      <c r="E1806" t="s">
        <v>214</v>
      </c>
      <c r="F1806" t="s">
        <v>235</v>
      </c>
      <c r="G1806" t="s">
        <v>169</v>
      </c>
      <c r="H1806">
        <v>473</v>
      </c>
      <c r="I1806" s="34">
        <f>+POWER_Regional_Daily_20150101_20190305_c11b3312[[#This Row],[Column8]]/100</f>
        <v>4.7300000000000004</v>
      </c>
      <c r="J1806" s="34"/>
    </row>
    <row r="1807" spans="1:10" x14ac:dyDescent="0.25">
      <c r="A1807" s="34"/>
      <c r="B1807" s="34"/>
      <c r="C1807" t="s">
        <v>271</v>
      </c>
      <c r="D1807" t="s">
        <v>186</v>
      </c>
      <c r="E1807" t="s">
        <v>215</v>
      </c>
      <c r="F1807" t="s">
        <v>195</v>
      </c>
      <c r="G1807" t="s">
        <v>169</v>
      </c>
      <c r="H1807">
        <v>437</v>
      </c>
      <c r="I1807" s="34">
        <f>+POWER_Regional_Daily_20150101_20190305_c11b3312[[#This Row],[Column8]]/100</f>
        <v>4.37</v>
      </c>
      <c r="J1807" s="34"/>
    </row>
    <row r="1808" spans="1:10" x14ac:dyDescent="0.25">
      <c r="A1808" s="34"/>
      <c r="B1808" s="34"/>
      <c r="C1808" t="s">
        <v>271</v>
      </c>
      <c r="D1808" t="s">
        <v>186</v>
      </c>
      <c r="E1808" t="s">
        <v>217</v>
      </c>
      <c r="F1808" t="s">
        <v>233</v>
      </c>
      <c r="G1808" t="s">
        <v>169</v>
      </c>
      <c r="H1808">
        <v>429</v>
      </c>
      <c r="I1808" s="34">
        <f>+POWER_Regional_Daily_20150101_20190305_c11b3312[[#This Row],[Column8]]/100</f>
        <v>4.29</v>
      </c>
      <c r="J1808" s="34"/>
    </row>
    <row r="1809" spans="1:10" x14ac:dyDescent="0.25">
      <c r="A1809" s="34"/>
      <c r="B1809" s="34"/>
      <c r="C1809" t="s">
        <v>271</v>
      </c>
      <c r="D1809" t="s">
        <v>186</v>
      </c>
      <c r="E1809" t="s">
        <v>219</v>
      </c>
      <c r="F1809" t="s">
        <v>224</v>
      </c>
      <c r="G1809" t="s">
        <v>169</v>
      </c>
      <c r="H1809">
        <v>419</v>
      </c>
      <c r="I1809" s="34">
        <f>+POWER_Regional_Daily_20150101_20190305_c11b3312[[#This Row],[Column8]]/100</f>
        <v>4.1900000000000004</v>
      </c>
      <c r="J1809" s="34"/>
    </row>
    <row r="1810" spans="1:10" x14ac:dyDescent="0.25">
      <c r="A1810" s="34"/>
      <c r="B1810" s="34"/>
      <c r="C1810" t="s">
        <v>271</v>
      </c>
      <c r="D1810" t="s">
        <v>188</v>
      </c>
      <c r="E1810" t="s">
        <v>167</v>
      </c>
      <c r="F1810" t="s">
        <v>209</v>
      </c>
      <c r="G1810" t="s">
        <v>169</v>
      </c>
      <c r="H1810">
        <v>479</v>
      </c>
      <c r="I1810" s="34">
        <f>+POWER_Regional_Daily_20150101_20190305_c11b3312[[#This Row],[Column8]]/100</f>
        <v>4.79</v>
      </c>
      <c r="J1810" s="34"/>
    </row>
    <row r="1811" spans="1:10" x14ac:dyDescent="0.25">
      <c r="A1811" s="34"/>
      <c r="B1811" s="34"/>
      <c r="C1811" t="s">
        <v>271</v>
      </c>
      <c r="D1811" t="s">
        <v>188</v>
      </c>
      <c r="E1811" t="s">
        <v>170</v>
      </c>
      <c r="F1811" t="s">
        <v>183</v>
      </c>
      <c r="G1811" t="s">
        <v>169</v>
      </c>
      <c r="H1811">
        <v>534</v>
      </c>
      <c r="I1811" s="34">
        <f>+POWER_Regional_Daily_20150101_20190305_c11b3312[[#This Row],[Column8]]/100</f>
        <v>5.34</v>
      </c>
      <c r="J1811" s="34"/>
    </row>
    <row r="1812" spans="1:10" x14ac:dyDescent="0.25">
      <c r="A1812" s="34"/>
      <c r="B1812" s="34"/>
      <c r="C1812" t="s">
        <v>271</v>
      </c>
      <c r="D1812" t="s">
        <v>188</v>
      </c>
      <c r="E1812" t="s">
        <v>172</v>
      </c>
      <c r="F1812" t="s">
        <v>233</v>
      </c>
      <c r="G1812" t="s">
        <v>169</v>
      </c>
      <c r="H1812">
        <v>430</v>
      </c>
      <c r="I1812" s="34">
        <f>+POWER_Regional_Daily_20150101_20190305_c11b3312[[#This Row],[Column8]]/100</f>
        <v>4.3</v>
      </c>
      <c r="J1812" s="34"/>
    </row>
    <row r="1813" spans="1:10" x14ac:dyDescent="0.25">
      <c r="A1813" s="34"/>
      <c r="B1813" s="34"/>
      <c r="C1813" t="s">
        <v>271</v>
      </c>
      <c r="D1813" t="s">
        <v>188</v>
      </c>
      <c r="E1813" t="s">
        <v>174</v>
      </c>
      <c r="F1813" t="s">
        <v>201</v>
      </c>
      <c r="G1813" t="s">
        <v>169</v>
      </c>
      <c r="H1813">
        <v>496</v>
      </c>
      <c r="I1813" s="34">
        <f>+POWER_Regional_Daily_20150101_20190305_c11b3312[[#This Row],[Column8]]/100</f>
        <v>4.96</v>
      </c>
      <c r="J1813" s="34"/>
    </row>
    <row r="1814" spans="1:10" x14ac:dyDescent="0.25">
      <c r="A1814" s="34"/>
      <c r="B1814" s="34"/>
      <c r="C1814" t="s">
        <v>271</v>
      </c>
      <c r="D1814" t="s">
        <v>188</v>
      </c>
      <c r="E1814" t="s">
        <v>175</v>
      </c>
      <c r="F1814" t="s">
        <v>183</v>
      </c>
      <c r="G1814" t="s">
        <v>169</v>
      </c>
      <c r="H1814">
        <v>528</v>
      </c>
      <c r="I1814" s="34">
        <f>+POWER_Regional_Daily_20150101_20190305_c11b3312[[#This Row],[Column8]]/100</f>
        <v>5.28</v>
      </c>
      <c r="J1814" s="34"/>
    </row>
    <row r="1815" spans="1:10" x14ac:dyDescent="0.25">
      <c r="A1815" s="34"/>
      <c r="B1815" s="34"/>
      <c r="C1815" t="s">
        <v>271</v>
      </c>
      <c r="D1815" t="s">
        <v>188</v>
      </c>
      <c r="E1815" t="s">
        <v>177</v>
      </c>
      <c r="F1815" t="s">
        <v>222</v>
      </c>
      <c r="G1815" t="s">
        <v>169</v>
      </c>
      <c r="H1815">
        <v>500</v>
      </c>
      <c r="I1815" s="34">
        <f>+POWER_Regional_Daily_20150101_20190305_c11b3312[[#This Row],[Column8]]/100</f>
        <v>5</v>
      </c>
      <c r="J1815" s="34"/>
    </row>
    <row r="1816" spans="1:10" x14ac:dyDescent="0.25">
      <c r="A1816" s="34"/>
      <c r="B1816" s="34"/>
      <c r="C1816" t="s">
        <v>271</v>
      </c>
      <c r="D1816" t="s">
        <v>188</v>
      </c>
      <c r="E1816" t="s">
        <v>178</v>
      </c>
      <c r="F1816" t="s">
        <v>227</v>
      </c>
      <c r="G1816" t="s">
        <v>169</v>
      </c>
      <c r="H1816">
        <v>303</v>
      </c>
      <c r="I1816" s="34">
        <f>+POWER_Regional_Daily_20150101_20190305_c11b3312[[#This Row],[Column8]]/100</f>
        <v>3.03</v>
      </c>
      <c r="J1816" s="34"/>
    </row>
    <row r="1817" spans="1:10" x14ac:dyDescent="0.25">
      <c r="A1817" s="34"/>
      <c r="B1817" s="34"/>
      <c r="C1817" t="s">
        <v>271</v>
      </c>
      <c r="D1817" t="s">
        <v>188</v>
      </c>
      <c r="E1817" t="s">
        <v>180</v>
      </c>
      <c r="F1817" t="s">
        <v>187</v>
      </c>
      <c r="G1817" t="s">
        <v>169</v>
      </c>
      <c r="H1817">
        <v>-999</v>
      </c>
      <c r="I1817" s="34">
        <f>+POWER_Regional_Daily_20150101_20190305_c11b3312[[#This Row],[Column8]]/100</f>
        <v>-9.99</v>
      </c>
      <c r="J1817" s="34"/>
    </row>
    <row r="1818" spans="1:10" x14ac:dyDescent="0.25">
      <c r="A1818" s="34"/>
      <c r="B1818" s="34"/>
      <c r="C1818" t="s">
        <v>271</v>
      </c>
      <c r="D1818" t="s">
        <v>188</v>
      </c>
      <c r="E1818" t="s">
        <v>182</v>
      </c>
      <c r="F1818" t="s">
        <v>218</v>
      </c>
      <c r="G1818" t="s">
        <v>169</v>
      </c>
      <c r="H1818">
        <v>534</v>
      </c>
      <c r="I1818" s="34">
        <f>+POWER_Regional_Daily_20150101_20190305_c11b3312[[#This Row],[Column8]]/100</f>
        <v>5.34</v>
      </c>
      <c r="J1818" s="34"/>
    </row>
    <row r="1819" spans="1:10" x14ac:dyDescent="0.25">
      <c r="A1819" s="34"/>
      <c r="B1819" s="34"/>
      <c r="C1819" t="s">
        <v>271</v>
      </c>
      <c r="D1819" t="s">
        <v>188</v>
      </c>
      <c r="E1819" t="s">
        <v>184</v>
      </c>
      <c r="F1819" t="s">
        <v>195</v>
      </c>
      <c r="G1819" t="s">
        <v>169</v>
      </c>
      <c r="H1819">
        <v>434</v>
      </c>
      <c r="I1819" s="34">
        <f>+POWER_Regional_Daily_20150101_20190305_c11b3312[[#This Row],[Column8]]/100</f>
        <v>4.34</v>
      </c>
      <c r="J1819" s="34"/>
    </row>
    <row r="1820" spans="1:10" x14ac:dyDescent="0.25">
      <c r="A1820" s="34"/>
      <c r="B1820" s="34"/>
      <c r="C1820" t="s">
        <v>271</v>
      </c>
      <c r="D1820" t="s">
        <v>188</v>
      </c>
      <c r="E1820" t="s">
        <v>186</v>
      </c>
      <c r="F1820" t="s">
        <v>211</v>
      </c>
      <c r="G1820" t="s">
        <v>169</v>
      </c>
      <c r="H1820">
        <v>384</v>
      </c>
      <c r="I1820" s="34">
        <f>+POWER_Regional_Daily_20150101_20190305_c11b3312[[#This Row],[Column8]]/100</f>
        <v>3.84</v>
      </c>
      <c r="J1820" s="34"/>
    </row>
    <row r="1821" spans="1:10" x14ac:dyDescent="0.25">
      <c r="A1821" s="34"/>
      <c r="B1821" s="34"/>
      <c r="C1821" t="s">
        <v>271</v>
      </c>
      <c r="D1821" t="s">
        <v>188</v>
      </c>
      <c r="E1821" t="s">
        <v>188</v>
      </c>
      <c r="F1821" t="s">
        <v>239</v>
      </c>
      <c r="G1821" t="s">
        <v>169</v>
      </c>
      <c r="H1821">
        <v>333</v>
      </c>
      <c r="I1821" s="34">
        <f>+POWER_Regional_Daily_20150101_20190305_c11b3312[[#This Row],[Column8]]/100</f>
        <v>3.33</v>
      </c>
      <c r="J1821" s="34"/>
    </row>
    <row r="1822" spans="1:10" x14ac:dyDescent="0.25">
      <c r="A1822" s="34"/>
      <c r="B1822" s="34"/>
      <c r="C1822" t="s">
        <v>271</v>
      </c>
      <c r="D1822" t="s">
        <v>188</v>
      </c>
      <c r="E1822" t="s">
        <v>190</v>
      </c>
      <c r="F1822" t="s">
        <v>197</v>
      </c>
      <c r="G1822" t="s">
        <v>169</v>
      </c>
      <c r="H1822">
        <v>405</v>
      </c>
      <c r="I1822" s="34">
        <f>+POWER_Regional_Daily_20150101_20190305_c11b3312[[#This Row],[Column8]]/100</f>
        <v>4.05</v>
      </c>
      <c r="J1822" s="34"/>
    </row>
    <row r="1823" spans="1:10" x14ac:dyDescent="0.25">
      <c r="A1823" s="34"/>
      <c r="B1823" s="34"/>
      <c r="C1823" t="s">
        <v>271</v>
      </c>
      <c r="D1823" t="s">
        <v>188</v>
      </c>
      <c r="E1823" t="s">
        <v>192</v>
      </c>
      <c r="F1823" t="s">
        <v>246</v>
      </c>
      <c r="G1823" t="s">
        <v>169</v>
      </c>
      <c r="H1823">
        <v>354</v>
      </c>
      <c r="I1823" s="34">
        <f>+POWER_Regional_Daily_20150101_20190305_c11b3312[[#This Row],[Column8]]/100</f>
        <v>3.54</v>
      </c>
      <c r="J1823" s="34"/>
    </row>
    <row r="1824" spans="1:10" x14ac:dyDescent="0.25">
      <c r="A1824" s="34"/>
      <c r="B1824" s="34"/>
      <c r="C1824" t="s">
        <v>271</v>
      </c>
      <c r="D1824" t="s">
        <v>188</v>
      </c>
      <c r="E1824" t="s">
        <v>194</v>
      </c>
      <c r="F1824" t="s">
        <v>195</v>
      </c>
      <c r="G1824" t="s">
        <v>169</v>
      </c>
      <c r="H1824">
        <v>433</v>
      </c>
      <c r="I1824" s="34">
        <f>+POWER_Regional_Daily_20150101_20190305_c11b3312[[#This Row],[Column8]]/100</f>
        <v>4.33</v>
      </c>
      <c r="J1824" s="34"/>
    </row>
    <row r="1825" spans="1:10" x14ac:dyDescent="0.25">
      <c r="A1825" s="34"/>
      <c r="B1825" s="34"/>
      <c r="C1825" t="s">
        <v>271</v>
      </c>
      <c r="D1825" t="s">
        <v>188</v>
      </c>
      <c r="E1825" t="s">
        <v>196</v>
      </c>
      <c r="F1825" t="s">
        <v>231</v>
      </c>
      <c r="G1825" t="s">
        <v>169</v>
      </c>
      <c r="H1825">
        <v>442</v>
      </c>
      <c r="I1825" s="34">
        <f>+POWER_Regional_Daily_20150101_20190305_c11b3312[[#This Row],[Column8]]/100</f>
        <v>4.42</v>
      </c>
      <c r="J1825" s="34"/>
    </row>
    <row r="1826" spans="1:10" x14ac:dyDescent="0.25">
      <c r="A1826" s="34"/>
      <c r="B1826" s="34"/>
      <c r="C1826" t="s">
        <v>271</v>
      </c>
      <c r="D1826" t="s">
        <v>188</v>
      </c>
      <c r="E1826" t="s">
        <v>198</v>
      </c>
      <c r="F1826" t="s">
        <v>243</v>
      </c>
      <c r="G1826" t="s">
        <v>169</v>
      </c>
      <c r="H1826">
        <v>289</v>
      </c>
      <c r="I1826" s="34">
        <f>+POWER_Regional_Daily_20150101_20190305_c11b3312[[#This Row],[Column8]]/100</f>
        <v>2.89</v>
      </c>
      <c r="J1826" s="34"/>
    </row>
    <row r="1827" spans="1:10" x14ac:dyDescent="0.25">
      <c r="A1827" s="34"/>
      <c r="B1827" s="34"/>
      <c r="C1827" t="s">
        <v>271</v>
      </c>
      <c r="D1827" t="s">
        <v>188</v>
      </c>
      <c r="E1827" t="s">
        <v>199</v>
      </c>
      <c r="F1827" t="s">
        <v>233</v>
      </c>
      <c r="G1827" t="s">
        <v>169</v>
      </c>
      <c r="H1827">
        <v>421</v>
      </c>
      <c r="I1827" s="34">
        <f>+POWER_Regional_Daily_20150101_20190305_c11b3312[[#This Row],[Column8]]/100</f>
        <v>4.21</v>
      </c>
      <c r="J1827" s="34"/>
    </row>
    <row r="1828" spans="1:10" x14ac:dyDescent="0.25">
      <c r="A1828" s="34"/>
      <c r="B1828" s="34"/>
      <c r="C1828" t="s">
        <v>271</v>
      </c>
      <c r="D1828" t="s">
        <v>188</v>
      </c>
      <c r="E1828" t="s">
        <v>200</v>
      </c>
      <c r="F1828" t="s">
        <v>181</v>
      </c>
      <c r="G1828" t="s">
        <v>169</v>
      </c>
      <c r="H1828">
        <v>512</v>
      </c>
      <c r="I1828" s="34">
        <f>+POWER_Regional_Daily_20150101_20190305_c11b3312[[#This Row],[Column8]]/100</f>
        <v>5.12</v>
      </c>
      <c r="J1828" s="34"/>
    </row>
    <row r="1829" spans="1:10" x14ac:dyDescent="0.25">
      <c r="A1829" s="34"/>
      <c r="B1829" s="34"/>
      <c r="C1829" t="s">
        <v>271</v>
      </c>
      <c r="D1829" t="s">
        <v>188</v>
      </c>
      <c r="E1829" t="s">
        <v>202</v>
      </c>
      <c r="F1829" t="s">
        <v>183</v>
      </c>
      <c r="G1829" t="s">
        <v>169</v>
      </c>
      <c r="H1829">
        <v>520</v>
      </c>
      <c r="I1829" s="34">
        <f>+POWER_Regional_Daily_20150101_20190305_c11b3312[[#This Row],[Column8]]/100</f>
        <v>5.2</v>
      </c>
      <c r="J1829" s="34"/>
    </row>
    <row r="1830" spans="1:10" x14ac:dyDescent="0.25">
      <c r="A1830" s="34"/>
      <c r="B1830" s="34"/>
      <c r="C1830" t="s">
        <v>271</v>
      </c>
      <c r="D1830" t="s">
        <v>188</v>
      </c>
      <c r="E1830" t="s">
        <v>203</v>
      </c>
      <c r="F1830" t="s">
        <v>235</v>
      </c>
      <c r="G1830" t="s">
        <v>169</v>
      </c>
      <c r="H1830">
        <v>457</v>
      </c>
      <c r="I1830" s="34">
        <f>+POWER_Regional_Daily_20150101_20190305_c11b3312[[#This Row],[Column8]]/100</f>
        <v>4.57</v>
      </c>
      <c r="J1830" s="34"/>
    </row>
    <row r="1831" spans="1:10" x14ac:dyDescent="0.25">
      <c r="A1831" s="34"/>
      <c r="B1831" s="34"/>
      <c r="C1831" t="s">
        <v>271</v>
      </c>
      <c r="D1831" t="s">
        <v>188</v>
      </c>
      <c r="E1831" t="s">
        <v>205</v>
      </c>
      <c r="F1831" t="s">
        <v>223</v>
      </c>
      <c r="G1831" t="s">
        <v>169</v>
      </c>
      <c r="H1831">
        <v>452</v>
      </c>
      <c r="I1831" s="34">
        <f>+POWER_Regional_Daily_20150101_20190305_c11b3312[[#This Row],[Column8]]/100</f>
        <v>4.5199999999999996</v>
      </c>
      <c r="J1831" s="34"/>
    </row>
    <row r="1832" spans="1:10" x14ac:dyDescent="0.25">
      <c r="A1832" s="34"/>
      <c r="B1832" s="34"/>
      <c r="C1832" t="s">
        <v>271</v>
      </c>
      <c r="D1832" t="s">
        <v>188</v>
      </c>
      <c r="E1832" t="s">
        <v>207</v>
      </c>
      <c r="F1832" t="s">
        <v>231</v>
      </c>
      <c r="G1832" t="s">
        <v>169</v>
      </c>
      <c r="H1832">
        <v>439</v>
      </c>
      <c r="I1832" s="34">
        <f>+POWER_Regional_Daily_20150101_20190305_c11b3312[[#This Row],[Column8]]/100</f>
        <v>4.3899999999999997</v>
      </c>
      <c r="J1832" s="34"/>
    </row>
    <row r="1833" spans="1:10" x14ac:dyDescent="0.25">
      <c r="A1833" s="34"/>
      <c r="B1833" s="34"/>
      <c r="C1833" t="s">
        <v>271</v>
      </c>
      <c r="D1833" t="s">
        <v>188</v>
      </c>
      <c r="E1833" t="s">
        <v>208</v>
      </c>
      <c r="F1833" t="s">
        <v>187</v>
      </c>
      <c r="G1833" t="s">
        <v>169</v>
      </c>
      <c r="H1833">
        <v>-999</v>
      </c>
      <c r="I1833" s="34">
        <f>+POWER_Regional_Daily_20150101_20190305_c11b3312[[#This Row],[Column8]]/100</f>
        <v>-9.99</v>
      </c>
      <c r="J1833" s="34"/>
    </row>
    <row r="1834" spans="1:10" x14ac:dyDescent="0.25">
      <c r="A1834" s="34"/>
      <c r="B1834" s="34"/>
      <c r="C1834" t="s">
        <v>271</v>
      </c>
      <c r="D1834" t="s">
        <v>188</v>
      </c>
      <c r="E1834" t="s">
        <v>210</v>
      </c>
      <c r="F1834" t="s">
        <v>201</v>
      </c>
      <c r="G1834" t="s">
        <v>169</v>
      </c>
      <c r="H1834">
        <v>483</v>
      </c>
      <c r="I1834" s="34">
        <f>+POWER_Regional_Daily_20150101_20190305_c11b3312[[#This Row],[Column8]]/100</f>
        <v>4.83</v>
      </c>
      <c r="J1834" s="34"/>
    </row>
    <row r="1835" spans="1:10" x14ac:dyDescent="0.25">
      <c r="A1835" s="34"/>
      <c r="B1835" s="34"/>
      <c r="C1835" t="s">
        <v>271</v>
      </c>
      <c r="D1835" t="s">
        <v>188</v>
      </c>
      <c r="E1835" t="s">
        <v>212</v>
      </c>
      <c r="F1835" t="s">
        <v>218</v>
      </c>
      <c r="G1835" t="s">
        <v>169</v>
      </c>
      <c r="H1835">
        <v>536</v>
      </c>
      <c r="I1835" s="34">
        <f>+POWER_Regional_Daily_20150101_20190305_c11b3312[[#This Row],[Column8]]/100</f>
        <v>5.36</v>
      </c>
      <c r="J1835" s="34"/>
    </row>
    <row r="1836" spans="1:10" x14ac:dyDescent="0.25">
      <c r="A1836" s="34"/>
      <c r="B1836" s="34"/>
      <c r="C1836" t="s">
        <v>271</v>
      </c>
      <c r="D1836" t="s">
        <v>188</v>
      </c>
      <c r="E1836" t="s">
        <v>214</v>
      </c>
      <c r="F1836" t="s">
        <v>211</v>
      </c>
      <c r="G1836" t="s">
        <v>169</v>
      </c>
      <c r="H1836">
        <v>387</v>
      </c>
      <c r="I1836" s="34">
        <f>+POWER_Regional_Daily_20150101_20190305_c11b3312[[#This Row],[Column8]]/100</f>
        <v>3.87</v>
      </c>
      <c r="J1836" s="34"/>
    </row>
    <row r="1837" spans="1:10" x14ac:dyDescent="0.25">
      <c r="A1837" s="34"/>
      <c r="B1837" s="34"/>
      <c r="C1837" t="s">
        <v>271</v>
      </c>
      <c r="D1837" t="s">
        <v>188</v>
      </c>
      <c r="E1837" t="s">
        <v>215</v>
      </c>
      <c r="F1837" t="s">
        <v>232</v>
      </c>
      <c r="G1837" t="s">
        <v>169</v>
      </c>
      <c r="H1837">
        <v>552</v>
      </c>
      <c r="I1837" s="34">
        <f>+POWER_Regional_Daily_20150101_20190305_c11b3312[[#This Row],[Column8]]/100</f>
        <v>5.52</v>
      </c>
      <c r="J1837" s="34"/>
    </row>
    <row r="1838" spans="1:10" x14ac:dyDescent="0.25">
      <c r="A1838" s="34"/>
      <c r="B1838" s="34"/>
      <c r="C1838" t="s">
        <v>271</v>
      </c>
      <c r="D1838" t="s">
        <v>188</v>
      </c>
      <c r="E1838" t="s">
        <v>217</v>
      </c>
      <c r="F1838" t="s">
        <v>235</v>
      </c>
      <c r="G1838" t="s">
        <v>169</v>
      </c>
      <c r="H1838">
        <v>459</v>
      </c>
      <c r="I1838" s="34">
        <f>+POWER_Regional_Daily_20150101_20190305_c11b3312[[#This Row],[Column8]]/100</f>
        <v>4.59</v>
      </c>
      <c r="J1838" s="34"/>
    </row>
    <row r="1839" spans="1:10" x14ac:dyDescent="0.25">
      <c r="A1839" s="34"/>
      <c r="B1839" s="34"/>
      <c r="C1839" t="s">
        <v>271</v>
      </c>
      <c r="D1839" t="s">
        <v>188</v>
      </c>
      <c r="E1839" t="s">
        <v>219</v>
      </c>
      <c r="F1839" t="s">
        <v>227</v>
      </c>
      <c r="G1839" t="s">
        <v>169</v>
      </c>
      <c r="H1839">
        <v>302</v>
      </c>
      <c r="I1839" s="34">
        <f>+POWER_Regional_Daily_20150101_20190305_c11b3312[[#This Row],[Column8]]/100</f>
        <v>3.02</v>
      </c>
      <c r="J1839" s="34"/>
    </row>
    <row r="1840" spans="1:10" x14ac:dyDescent="0.25">
      <c r="A1840" s="34"/>
      <c r="B1840" s="34"/>
      <c r="C1840" t="s">
        <v>271</v>
      </c>
      <c r="D1840" t="s">
        <v>188</v>
      </c>
      <c r="E1840" t="s">
        <v>220</v>
      </c>
      <c r="F1840" t="s">
        <v>216</v>
      </c>
      <c r="G1840" t="s">
        <v>169</v>
      </c>
      <c r="H1840">
        <v>300</v>
      </c>
      <c r="I1840" s="34">
        <f>+POWER_Regional_Daily_20150101_20190305_c11b3312[[#This Row],[Column8]]/100</f>
        <v>3</v>
      </c>
      <c r="J1840" s="34"/>
    </row>
    <row r="1841" spans="1:10" x14ac:dyDescent="0.25">
      <c r="A1841" s="34"/>
      <c r="B1841" s="34"/>
      <c r="C1841" t="s">
        <v>324</v>
      </c>
      <c r="D1841" t="s">
        <v>167</v>
      </c>
      <c r="E1841" t="s">
        <v>167</v>
      </c>
      <c r="F1841" t="s">
        <v>204</v>
      </c>
      <c r="G1841" t="s">
        <v>169</v>
      </c>
      <c r="H1841">
        <v>401</v>
      </c>
      <c r="I1841" s="34">
        <f>+POWER_Regional_Daily_20150101_20190305_c11b3312[[#This Row],[Column8]]/100</f>
        <v>4.01</v>
      </c>
      <c r="J1841" s="34"/>
    </row>
  </sheetData>
  <phoneticPr fontId="11" type="noConversion"/>
  <conditionalFormatting sqref="U4:U15">
    <cfRule type="top10" dxfId="19" priority="6" percent="1" bottom="1" rank="10"/>
  </conditionalFormatting>
  <conditionalFormatting sqref="P4:P15">
    <cfRule type="top10" dxfId="18" priority="5" percent="1" bottom="1" rank="10"/>
  </conditionalFormatting>
  <conditionalFormatting sqref="O4:O15">
    <cfRule type="top10" dxfId="17" priority="4" percent="1" bottom="1" rank="10"/>
  </conditionalFormatting>
  <conditionalFormatting sqref="N4:N15">
    <cfRule type="top10" dxfId="16" priority="3" percent="1" bottom="1" rank="10"/>
  </conditionalFormatting>
  <conditionalFormatting sqref="M4:M15">
    <cfRule type="top10" dxfId="15" priority="2" percent="1" bottom="1" rank="10"/>
  </conditionalFormatting>
  <conditionalFormatting sqref="L4:L15">
    <cfRule type="top10" dxfId="14" priority="1" percent="1" bottom="1" rank="10"/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4668"/>
  <sheetViews>
    <sheetView topLeftCell="A73" zoomScaleNormal="70" workbookViewId="0">
      <selection activeCell="D78" sqref="D78"/>
    </sheetView>
  </sheetViews>
  <sheetFormatPr baseColWidth="10" defaultColWidth="9.140625" defaultRowHeight="15" x14ac:dyDescent="0.25"/>
  <cols>
    <col min="2" max="2" width="14.5703125" bestFit="1" customWidth="1"/>
    <col min="3" max="3" width="31.7109375" bestFit="1" customWidth="1"/>
    <col min="4" max="4" width="16.5703125" customWidth="1"/>
    <col min="5" max="5" width="20.42578125" bestFit="1" customWidth="1"/>
    <col min="6" max="6" width="37" bestFit="1" customWidth="1"/>
    <col min="7" max="7" width="17.42578125" customWidth="1"/>
    <col min="8" max="8" width="12.28515625" bestFit="1" customWidth="1"/>
    <col min="9" max="9" width="15.28515625" bestFit="1" customWidth="1"/>
    <col min="10" max="10" width="14.7109375" bestFit="1" customWidth="1"/>
    <col min="11" max="11" width="13.140625" bestFit="1" customWidth="1"/>
    <col min="15" max="17" width="2" bestFit="1" customWidth="1"/>
    <col min="18" max="21" width="2" style="2" bestFit="1" customWidth="1"/>
    <col min="22" max="22" width="6" style="2" bestFit="1" customWidth="1"/>
    <col min="23" max="37" width="2" style="2" bestFit="1" customWidth="1"/>
    <col min="38" max="45" width="9.140625" style="2"/>
  </cols>
  <sheetData>
    <row r="1" spans="1:1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7.25" x14ac:dyDescent="0.25">
      <c r="A4" s="2"/>
      <c r="B4" s="2"/>
      <c r="C4" s="5" t="s">
        <v>21</v>
      </c>
      <c r="D4" s="7">
        <v>48</v>
      </c>
      <c r="E4" s="2" t="str">
        <f>+IF(OR(D4=12,D4=24,D4=48),"DC",IF(OR(D4=110,D4=220),"AC","Ingrese valor estandar"))</f>
        <v>DC</v>
      </c>
      <c r="F4" s="5" t="str">
        <f>+IF(B7=2,"Irradiación promedio anual","Irradiación promedio mes minima anual")</f>
        <v>Irradiación promedio mes minima anual</v>
      </c>
      <c r="G4" s="7">
        <v>4</v>
      </c>
      <c r="H4" s="2" t="s">
        <v>24</v>
      </c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/>
      <c r="B5" s="2"/>
      <c r="C5" s="5" t="s">
        <v>22</v>
      </c>
      <c r="D5" s="8">
        <v>25</v>
      </c>
      <c r="E5" s="2" t="s">
        <v>23</v>
      </c>
      <c r="F5" s="10" t="s">
        <v>43</v>
      </c>
      <c r="G5" s="20">
        <v>1</v>
      </c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/>
      <c r="B7" s="9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/>
      <c r="B8" s="3" t="b">
        <v>1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/>
      <c r="B9" s="126" t="s">
        <v>17</v>
      </c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 t="s">
        <v>16</v>
      </c>
      <c r="D11" s="6">
        <v>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B13" s="126" t="s">
        <v>15</v>
      </c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2"/>
      <c r="O13" s="2"/>
      <c r="P13" s="2"/>
      <c r="Q13" s="2"/>
    </row>
    <row r="14" spans="1:17" ht="30" x14ac:dyDescent="0.25">
      <c r="A14" s="2"/>
      <c r="B14" s="2"/>
      <c r="C14" s="18" t="s">
        <v>0</v>
      </c>
      <c r="D14" s="18" t="s">
        <v>1</v>
      </c>
      <c r="E14" s="127" t="s">
        <v>2</v>
      </c>
      <c r="F14" s="127"/>
      <c r="G14" s="12" t="s">
        <v>3</v>
      </c>
      <c r="H14" s="12" t="s">
        <v>4</v>
      </c>
      <c r="I14" s="11" t="s">
        <v>19</v>
      </c>
      <c r="J14" s="11" t="s">
        <v>53</v>
      </c>
      <c r="K14" s="2" t="s">
        <v>287</v>
      </c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>
        <v>1</v>
      </c>
      <c r="D15" s="67">
        <v>0</v>
      </c>
      <c r="E15" s="68" t="s">
        <v>93</v>
      </c>
      <c r="F15" s="68"/>
      <c r="G15" s="67">
        <v>30</v>
      </c>
      <c r="H15" s="2">
        <f t="shared" ref="H15:H20" si="0">G15*D15</f>
        <v>0</v>
      </c>
      <c r="I15" s="6">
        <v>24</v>
      </c>
      <c r="J15" s="2">
        <f>I15*H15*365</f>
        <v>0</v>
      </c>
      <c r="K15" s="40">
        <f>J15/365</f>
        <v>0</v>
      </c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>
        <v>2</v>
      </c>
      <c r="D16" s="67">
        <v>0</v>
      </c>
      <c r="E16" s="68" t="s">
        <v>94</v>
      </c>
      <c r="F16" s="68"/>
      <c r="G16" s="67">
        <v>38.4</v>
      </c>
      <c r="H16" s="2">
        <f t="shared" si="0"/>
        <v>0</v>
      </c>
      <c r="I16" s="6">
        <v>24</v>
      </c>
      <c r="J16" s="2">
        <f>I16*H16*365</f>
        <v>0</v>
      </c>
      <c r="K16" s="40">
        <f t="shared" ref="K16:K25" si="1">J16/365</f>
        <v>0</v>
      </c>
      <c r="L16" s="2"/>
      <c r="M16" s="2"/>
      <c r="N16" s="2"/>
      <c r="O16" s="2"/>
      <c r="P16" s="2"/>
      <c r="Q16" s="2"/>
    </row>
    <row r="17" spans="1:22" x14ac:dyDescent="0.25">
      <c r="A17" s="2"/>
      <c r="B17" s="2"/>
      <c r="C17" s="2">
        <v>3</v>
      </c>
      <c r="D17" s="67">
        <v>0</v>
      </c>
      <c r="E17" s="68" t="s">
        <v>95</v>
      </c>
      <c r="F17" s="68"/>
      <c r="G17" s="67">
        <v>1.5</v>
      </c>
      <c r="H17" s="2">
        <f t="shared" si="0"/>
        <v>0</v>
      </c>
      <c r="I17" s="6">
        <v>24</v>
      </c>
      <c r="J17" s="2">
        <f>I17*H17*365</f>
        <v>0</v>
      </c>
      <c r="K17" s="40">
        <f t="shared" si="1"/>
        <v>0</v>
      </c>
      <c r="L17" s="2">
        <f>60*60/15</f>
        <v>240</v>
      </c>
      <c r="M17" s="2"/>
      <c r="N17" s="2"/>
      <c r="O17" s="2"/>
      <c r="P17" s="2"/>
      <c r="Q17" s="2"/>
    </row>
    <row r="18" spans="1:22" x14ac:dyDescent="0.25">
      <c r="A18" s="2"/>
      <c r="B18" s="2"/>
      <c r="C18" s="2">
        <v>4</v>
      </c>
      <c r="D18" s="67">
        <v>0</v>
      </c>
      <c r="E18" s="67" t="s">
        <v>96</v>
      </c>
      <c r="F18" s="67"/>
      <c r="G18" s="67">
        <v>30</v>
      </c>
      <c r="H18" s="2">
        <f t="shared" si="0"/>
        <v>0</v>
      </c>
      <c r="I18" s="6">
        <v>0.2</v>
      </c>
      <c r="J18" s="2">
        <f t="shared" ref="J18:J24" si="2">I18*H18*365</f>
        <v>0</v>
      </c>
      <c r="K18" s="40">
        <f t="shared" si="1"/>
        <v>0</v>
      </c>
      <c r="L18" s="2"/>
      <c r="M18" s="2"/>
      <c r="N18" s="2"/>
      <c r="O18" s="2"/>
      <c r="P18" s="2"/>
      <c r="Q18" s="2"/>
    </row>
    <row r="19" spans="1:22" x14ac:dyDescent="0.25">
      <c r="A19" s="2"/>
      <c r="B19" s="2"/>
      <c r="C19" s="2">
        <v>5</v>
      </c>
      <c r="D19" s="67">
        <v>0</v>
      </c>
      <c r="E19" s="67" t="s">
        <v>135</v>
      </c>
      <c r="F19" s="67"/>
      <c r="G19" s="67">
        <v>0</v>
      </c>
      <c r="H19" s="2">
        <f t="shared" si="0"/>
        <v>0</v>
      </c>
      <c r="I19" s="6">
        <v>24</v>
      </c>
      <c r="J19" s="2">
        <f t="shared" si="2"/>
        <v>0</v>
      </c>
      <c r="K19" s="40">
        <f t="shared" si="1"/>
        <v>0</v>
      </c>
      <c r="L19" s="2"/>
      <c r="M19" s="2">
        <f>60/10</f>
        <v>6</v>
      </c>
      <c r="N19" s="2"/>
      <c r="O19" s="2"/>
      <c r="P19" s="2"/>
      <c r="Q19" s="2"/>
    </row>
    <row r="20" spans="1:22" x14ac:dyDescent="0.25">
      <c r="A20" s="2"/>
      <c r="B20" s="2"/>
      <c r="C20" s="2">
        <v>6</v>
      </c>
      <c r="D20" s="67">
        <v>0</v>
      </c>
      <c r="E20" s="67" t="s">
        <v>286</v>
      </c>
      <c r="F20" s="67"/>
      <c r="G20" s="67">
        <v>25.3</v>
      </c>
      <c r="H20" s="2">
        <f t="shared" si="0"/>
        <v>0</v>
      </c>
      <c r="I20" s="6">
        <v>1</v>
      </c>
      <c r="J20" s="2">
        <f t="shared" si="2"/>
        <v>0</v>
      </c>
      <c r="K20" s="40">
        <f t="shared" si="1"/>
        <v>0</v>
      </c>
      <c r="L20" s="2"/>
      <c r="M20" s="2"/>
      <c r="N20" s="2"/>
      <c r="O20" s="2"/>
      <c r="P20" s="2"/>
      <c r="Q20" s="2"/>
    </row>
    <row r="21" spans="1:22" x14ac:dyDescent="0.25">
      <c r="A21" s="2"/>
      <c r="B21" s="2"/>
      <c r="C21" s="2">
        <v>7</v>
      </c>
      <c r="D21" s="49">
        <v>1</v>
      </c>
      <c r="E21" s="49" t="s">
        <v>296</v>
      </c>
      <c r="F21" s="49"/>
      <c r="G21" s="49">
        <v>550</v>
      </c>
      <c r="H21" s="2">
        <f>G21*D21</f>
        <v>550</v>
      </c>
      <c r="I21" s="6">
        <v>24</v>
      </c>
      <c r="J21" s="45">
        <f>I21*H21*365</f>
        <v>4818000</v>
      </c>
      <c r="K21" s="46">
        <f t="shared" si="1"/>
        <v>13200</v>
      </c>
      <c r="L21" s="2"/>
      <c r="M21" s="2"/>
      <c r="N21" s="2"/>
      <c r="O21" s="2"/>
      <c r="P21" s="2"/>
      <c r="Q21" s="2"/>
    </row>
    <row r="22" spans="1:22" x14ac:dyDescent="0.25">
      <c r="A22" s="2"/>
      <c r="B22" s="2"/>
      <c r="C22" s="2">
        <v>8</v>
      </c>
      <c r="D22" s="6"/>
      <c r="E22" s="6"/>
      <c r="F22" s="6"/>
      <c r="G22" s="6"/>
      <c r="H22" s="2"/>
      <c r="I22" s="6"/>
      <c r="J22" s="2">
        <f t="shared" si="2"/>
        <v>0</v>
      </c>
      <c r="K22" s="40">
        <f t="shared" si="1"/>
        <v>0</v>
      </c>
      <c r="L22" s="2"/>
      <c r="M22" s="2"/>
      <c r="N22" s="2"/>
      <c r="O22" s="2"/>
      <c r="P22" s="2"/>
      <c r="Q22" s="2"/>
    </row>
    <row r="23" spans="1:22" x14ac:dyDescent="0.25">
      <c r="A23" s="2"/>
      <c r="B23" s="2"/>
      <c r="C23" s="2">
        <v>9</v>
      </c>
      <c r="D23" s="6"/>
      <c r="E23" s="6"/>
      <c r="F23" s="6"/>
      <c r="G23" s="6"/>
      <c r="H23" s="2"/>
      <c r="I23" s="6"/>
      <c r="J23" s="2">
        <f t="shared" si="2"/>
        <v>0</v>
      </c>
      <c r="K23" s="40">
        <f t="shared" si="1"/>
        <v>0</v>
      </c>
      <c r="L23" s="2"/>
      <c r="M23" s="2"/>
      <c r="N23" s="2"/>
      <c r="O23" s="2"/>
      <c r="P23" s="2"/>
      <c r="Q23" s="2"/>
    </row>
    <row r="24" spans="1:22" x14ac:dyDescent="0.25">
      <c r="A24" s="2"/>
      <c r="B24" s="2"/>
      <c r="C24" s="2">
        <v>10</v>
      </c>
      <c r="D24" s="6"/>
      <c r="E24" s="6"/>
      <c r="F24" s="6"/>
      <c r="G24" s="6"/>
      <c r="H24" s="2"/>
      <c r="I24" s="6"/>
      <c r="J24" s="2">
        <f t="shared" si="2"/>
        <v>0</v>
      </c>
      <c r="K24" s="41">
        <f t="shared" si="1"/>
        <v>0</v>
      </c>
      <c r="L24" s="2"/>
      <c r="M24" s="2"/>
      <c r="N24" s="2"/>
      <c r="O24" s="2"/>
      <c r="P24" s="2"/>
      <c r="Q24" s="2"/>
    </row>
    <row r="25" spans="1:22" x14ac:dyDescent="0.25">
      <c r="A25" s="2"/>
      <c r="B25" s="2"/>
      <c r="C25" s="2"/>
      <c r="D25" s="2"/>
      <c r="E25" s="2"/>
      <c r="F25" s="2"/>
      <c r="G25" s="2">
        <f>SUM(G15:G21)</f>
        <v>675.2</v>
      </c>
      <c r="H25" s="2"/>
      <c r="I25" s="1" t="s">
        <v>18</v>
      </c>
      <c r="J25" s="1">
        <f>SUM(J15:J24)/1000</f>
        <v>4818</v>
      </c>
      <c r="K25" s="40">
        <f t="shared" si="1"/>
        <v>13.2</v>
      </c>
      <c r="L25" s="2"/>
      <c r="M25" s="2"/>
      <c r="N25" s="2"/>
      <c r="O25" s="2"/>
      <c r="P25" s="2"/>
      <c r="Q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43">
        <f>+J25*500</f>
        <v>2409000</v>
      </c>
      <c r="K26" s="43">
        <f>+K25*30*500</f>
        <v>198000</v>
      </c>
      <c r="L26" s="2"/>
      <c r="M26" s="2"/>
      <c r="N26" s="2"/>
      <c r="O26" s="2"/>
      <c r="P26" s="2"/>
      <c r="Q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>
        <v>85000000</v>
      </c>
      <c r="K27" s="2"/>
      <c r="L27" s="2"/>
      <c r="M27" s="2"/>
      <c r="N27" s="2"/>
      <c r="O27" s="2"/>
      <c r="P27" s="2"/>
      <c r="Q27" s="2"/>
    </row>
    <row r="28" spans="1:22" x14ac:dyDescent="0.25">
      <c r="B28" s="2"/>
      <c r="C28" s="2"/>
      <c r="D28" s="2"/>
      <c r="E28" s="2"/>
      <c r="F28" s="2"/>
      <c r="G28" s="2"/>
      <c r="H28" s="2"/>
      <c r="I28" s="2"/>
      <c r="J28" s="44">
        <f>+J27/J26</f>
        <v>35.284350352843504</v>
      </c>
      <c r="K28" s="2"/>
      <c r="L28" s="2"/>
      <c r="M28" s="2"/>
      <c r="N28" s="2"/>
      <c r="O28" s="2"/>
      <c r="P28" s="2"/>
      <c r="Q28" s="2"/>
      <c r="V28" s="2">
        <v>330</v>
      </c>
    </row>
    <row r="29" spans="1:22" x14ac:dyDescent="0.25">
      <c r="A29" s="2"/>
      <c r="B29" s="2"/>
      <c r="C29" s="2"/>
      <c r="D29" s="2"/>
      <c r="E29" s="2"/>
      <c r="F29" s="17" t="s">
        <v>31</v>
      </c>
      <c r="G29" s="16">
        <f>D11+J25</f>
        <v>4818</v>
      </c>
      <c r="H29" s="2"/>
      <c r="I29" s="2"/>
      <c r="J29" s="2"/>
      <c r="K29" s="2"/>
      <c r="L29" s="2"/>
      <c r="M29" s="2"/>
      <c r="N29" s="2"/>
      <c r="O29" s="2"/>
      <c r="P29" s="2"/>
      <c r="Q29" s="2"/>
      <c r="V29" s="2">
        <v>28</v>
      </c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V30" s="2">
        <f>V28*V29</f>
        <v>9240</v>
      </c>
    </row>
    <row r="31" spans="1:22" ht="26.25" x14ac:dyDescent="0.4">
      <c r="A31" s="2"/>
      <c r="B31" s="2"/>
      <c r="C31" s="2"/>
      <c r="D31" s="2"/>
      <c r="E31" s="2"/>
      <c r="F31" s="59" t="s">
        <v>395</v>
      </c>
      <c r="G31" s="60">
        <f>K25*1000</f>
        <v>13200</v>
      </c>
      <c r="H31" s="2"/>
      <c r="I31" s="2"/>
      <c r="J31" s="2"/>
      <c r="K31" s="2"/>
      <c r="L31" s="2"/>
      <c r="M31" s="2"/>
      <c r="N31" s="2"/>
      <c r="O31" s="2"/>
      <c r="P31" s="2"/>
      <c r="Q31" s="2"/>
      <c r="V31" s="2">
        <f>V32/V30</f>
        <v>5</v>
      </c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V32" s="2">
        <v>46200</v>
      </c>
    </row>
    <row r="33" spans="1:40" x14ac:dyDescent="0.25">
      <c r="A33" s="2"/>
      <c r="B33" s="2"/>
      <c r="C33" s="2"/>
      <c r="D33" s="2"/>
      <c r="E33" s="2"/>
      <c r="F33" s="5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40" x14ac:dyDescent="0.25">
      <c r="B34" s="126" t="s">
        <v>20</v>
      </c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2"/>
      <c r="O34" s="2"/>
      <c r="P34" s="2"/>
      <c r="Q34" s="2"/>
    </row>
    <row r="35" spans="1:4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40" x14ac:dyDescent="0.25">
      <c r="A36" s="2"/>
      <c r="B36" s="2"/>
      <c r="C36" s="2" t="s">
        <v>25</v>
      </c>
      <c r="D36" s="13">
        <v>0.95</v>
      </c>
      <c r="E36" s="2"/>
      <c r="F36" s="2">
        <f>20/4</f>
        <v>5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40" x14ac:dyDescent="0.25">
      <c r="A37" s="2"/>
      <c r="B37" s="2"/>
      <c r="C37" s="2" t="s">
        <v>327</v>
      </c>
      <c r="D37" s="9">
        <v>0.95</v>
      </c>
      <c r="E37" s="2"/>
      <c r="F37" s="2"/>
      <c r="G37" s="2"/>
      <c r="H37" s="2">
        <v>0.23</v>
      </c>
      <c r="I37" s="2">
        <v>110</v>
      </c>
      <c r="J37" s="2">
        <f>H37*I37</f>
        <v>25.3</v>
      </c>
      <c r="K37" s="2" t="s">
        <v>285</v>
      </c>
      <c r="L37" s="2"/>
      <c r="M37" s="2"/>
      <c r="N37" s="2"/>
      <c r="O37" s="2"/>
      <c r="P37" s="2"/>
      <c r="Q37" s="2"/>
    </row>
    <row r="38" spans="1:40" x14ac:dyDescent="0.25">
      <c r="A38" s="2"/>
      <c r="B38" s="2"/>
      <c r="C38" s="2" t="s">
        <v>26</v>
      </c>
      <c r="D38" s="13">
        <v>0.97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40" x14ac:dyDescent="0.25">
      <c r="A39" s="2"/>
      <c r="B39" s="2"/>
      <c r="C39" s="2" t="s">
        <v>27</v>
      </c>
      <c r="D39" s="9">
        <v>0.9</v>
      </c>
      <c r="E39" s="2"/>
      <c r="F39" s="2">
        <f>+K25/D41</f>
        <v>17.635544439818457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14"/>
    </row>
    <row r="40" spans="1:40" x14ac:dyDescent="0.25">
      <c r="A40" s="2"/>
      <c r="B40" s="2"/>
      <c r="C40" s="2" t="s">
        <v>28</v>
      </c>
      <c r="D40" s="13">
        <v>0.95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14"/>
    </row>
    <row r="41" spans="1:40" x14ac:dyDescent="0.25">
      <c r="A41" s="2"/>
      <c r="B41" s="2"/>
      <c r="C41" s="2" t="s">
        <v>29</v>
      </c>
      <c r="D41" s="2">
        <f>PRODUCT(D36:D40)</f>
        <v>0.74848837499999987</v>
      </c>
      <c r="E41" s="5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4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4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40" x14ac:dyDescent="0.25">
      <c r="B44" s="126" t="s">
        <v>5</v>
      </c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2"/>
      <c r="O44" s="2"/>
      <c r="P44" s="2"/>
      <c r="Q44" s="2"/>
    </row>
    <row r="45" spans="1:4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40" x14ac:dyDescent="0.25">
      <c r="A46" s="2"/>
      <c r="B46" s="2"/>
      <c r="C46" s="2"/>
      <c r="D46" s="3">
        <v>2</v>
      </c>
      <c r="E46" s="2"/>
      <c r="F46" s="24"/>
      <c r="G46" s="24"/>
      <c r="H46" s="24"/>
      <c r="I46" s="24"/>
      <c r="J46" s="24"/>
      <c r="K46" s="24" t="s">
        <v>52</v>
      </c>
      <c r="L46" s="26" t="s">
        <v>44</v>
      </c>
      <c r="M46" s="24"/>
      <c r="N46" s="2"/>
      <c r="O46" s="2"/>
      <c r="P46" s="2"/>
      <c r="Q46" s="2"/>
      <c r="AM46" s="2">
        <f>+MOD(35,AN46)</f>
        <v>13</v>
      </c>
      <c r="AN46" s="2">
        <v>22</v>
      </c>
    </row>
    <row r="47" spans="1:40" x14ac:dyDescent="0.25">
      <c r="A47" s="2"/>
      <c r="B47" s="2"/>
      <c r="C47" s="2"/>
      <c r="D47" s="2"/>
      <c r="F47" s="24"/>
      <c r="G47" s="24" t="s">
        <v>51</v>
      </c>
      <c r="H47" s="24"/>
      <c r="I47" s="24"/>
      <c r="J47" s="24">
        <v>850</v>
      </c>
      <c r="K47" s="25">
        <f>IF(B7=1,C107/C56,C67/C56)</f>
        <v>2.6915113871635614</v>
      </c>
      <c r="L47" s="25">
        <f>+ROUNDDOWN(K47,0)</f>
        <v>2</v>
      </c>
      <c r="M47" s="24"/>
      <c r="N47" s="2"/>
      <c r="O47" s="21" t="s">
        <v>47</v>
      </c>
      <c r="P47" s="2" t="s">
        <v>48</v>
      </c>
      <c r="Q47" s="21" t="s">
        <v>47</v>
      </c>
      <c r="R47" s="2" t="s">
        <v>48</v>
      </c>
      <c r="S47" s="21" t="s">
        <v>47</v>
      </c>
      <c r="T47" s="2" t="s">
        <v>48</v>
      </c>
      <c r="U47" s="21" t="s">
        <v>47</v>
      </c>
      <c r="V47" s="2" t="s">
        <v>48</v>
      </c>
      <c r="W47" s="21" t="s">
        <v>47</v>
      </c>
      <c r="X47" s="2" t="s">
        <v>48</v>
      </c>
      <c r="Y47" s="21" t="s">
        <v>47</v>
      </c>
      <c r="Z47" s="2" t="s">
        <v>48</v>
      </c>
      <c r="AA47" s="21" t="s">
        <v>47</v>
      </c>
      <c r="AB47" s="2" t="s">
        <v>48</v>
      </c>
      <c r="AC47" s="21" t="s">
        <v>47</v>
      </c>
      <c r="AD47" s="2" t="s">
        <v>48</v>
      </c>
      <c r="AE47" s="21" t="s">
        <v>47</v>
      </c>
      <c r="AF47" s="2" t="s">
        <v>48</v>
      </c>
      <c r="AG47" s="21" t="s">
        <v>47</v>
      </c>
      <c r="AH47" s="2" t="s">
        <v>48</v>
      </c>
      <c r="AI47" s="21" t="s">
        <v>47</v>
      </c>
      <c r="AJ47" s="2" t="s">
        <v>48</v>
      </c>
      <c r="AK47" s="21" t="s">
        <v>47</v>
      </c>
      <c r="AM47" s="2">
        <f>+MOD(35,AN47)</f>
        <v>14</v>
      </c>
      <c r="AN47" s="2">
        <v>21</v>
      </c>
    </row>
    <row r="48" spans="1:40" x14ac:dyDescent="0.25">
      <c r="A48" s="2"/>
      <c r="B48" s="2"/>
      <c r="C48" s="2"/>
      <c r="D48" s="18" t="str">
        <f>+IF(D46=1,"Sistema [kWp]:","Sistema [Wp]:")</f>
        <v>Sistema [Wp]:</v>
      </c>
      <c r="E48" s="2"/>
      <c r="F48" s="24">
        <f>+_xlfn.FLOOR.MATH(L47,D53)</f>
        <v>0</v>
      </c>
      <c r="G48" s="24" t="s">
        <v>50</v>
      </c>
      <c r="H48" s="24"/>
      <c r="I48" s="24"/>
      <c r="J48" s="24">
        <f>C108/C56</f>
        <v>1.3250517598343685</v>
      </c>
      <c r="K48" s="24">
        <f>ROUNDUP(J48,0)</f>
        <v>2</v>
      </c>
      <c r="L48" s="24"/>
      <c r="M48" s="24"/>
      <c r="N48" s="2"/>
      <c r="O48" s="2" t="s">
        <v>49</v>
      </c>
      <c r="P48" s="22"/>
      <c r="Q48" s="2" t="s">
        <v>49</v>
      </c>
      <c r="R48" s="22"/>
      <c r="S48" s="2" t="s">
        <v>49</v>
      </c>
      <c r="T48" s="22"/>
      <c r="U48" s="2" t="s">
        <v>49</v>
      </c>
      <c r="V48" s="22"/>
      <c r="W48" s="2" t="s">
        <v>49</v>
      </c>
      <c r="X48" s="22"/>
      <c r="Y48" s="2" t="s">
        <v>49</v>
      </c>
      <c r="Z48" s="22"/>
      <c r="AA48" s="2" t="s">
        <v>49</v>
      </c>
      <c r="AB48" s="22"/>
      <c r="AC48" s="2" t="s">
        <v>49</v>
      </c>
      <c r="AD48" s="22"/>
      <c r="AE48" s="2" t="s">
        <v>49</v>
      </c>
      <c r="AF48" s="22"/>
      <c r="AG48" s="2" t="s">
        <v>49</v>
      </c>
      <c r="AH48" s="22"/>
      <c r="AI48" s="2" t="s">
        <v>49</v>
      </c>
      <c r="AJ48" s="22"/>
      <c r="AK48" s="2" t="s">
        <v>49</v>
      </c>
      <c r="AL48" s="22"/>
      <c r="AM48" s="2">
        <f t="shared" ref="AM48:AM69" si="3">+MOD(35,AN48)</f>
        <v>15</v>
      </c>
      <c r="AN48" s="2">
        <v>20</v>
      </c>
    </row>
    <row r="49" spans="1:40" x14ac:dyDescent="0.25">
      <c r="A49" s="2"/>
      <c r="B49" s="2"/>
      <c r="C49" s="2"/>
      <c r="D49" s="18" t="s">
        <v>36</v>
      </c>
      <c r="E49" s="35">
        <f>IF(D46=1,G29/(G4*365*D41),G29*1000/(G4*365*D41))</f>
        <v>4408.8861099546139</v>
      </c>
      <c r="F49" s="24"/>
      <c r="G49" s="24"/>
      <c r="H49" s="24"/>
      <c r="I49" s="24"/>
      <c r="J49" s="24"/>
      <c r="K49" s="24"/>
      <c r="L49" s="24"/>
      <c r="M49" s="24"/>
      <c r="N49" s="2"/>
      <c r="O49" s="21" t="s">
        <v>47</v>
      </c>
      <c r="P49" s="2" t="s">
        <v>48</v>
      </c>
      <c r="Q49" s="21" t="s">
        <v>47</v>
      </c>
      <c r="R49" s="2" t="s">
        <v>48</v>
      </c>
      <c r="S49" s="21" t="s">
        <v>47</v>
      </c>
      <c r="T49" s="2" t="s">
        <v>48</v>
      </c>
      <c r="U49" s="21" t="s">
        <v>47</v>
      </c>
      <c r="V49" s="2" t="s">
        <v>48</v>
      </c>
      <c r="W49" s="21" t="s">
        <v>47</v>
      </c>
      <c r="X49" s="2" t="s">
        <v>48</v>
      </c>
      <c r="Y49" s="21" t="s">
        <v>47</v>
      </c>
      <c r="Z49" s="2" t="s">
        <v>48</v>
      </c>
      <c r="AA49" s="21" t="s">
        <v>47</v>
      </c>
      <c r="AB49" s="2" t="s">
        <v>48</v>
      </c>
      <c r="AC49" s="21" t="s">
        <v>47</v>
      </c>
      <c r="AD49" s="2" t="s">
        <v>48</v>
      </c>
      <c r="AE49" s="21" t="s">
        <v>47</v>
      </c>
      <c r="AF49" s="2" t="s">
        <v>48</v>
      </c>
      <c r="AG49" s="21" t="s">
        <v>47</v>
      </c>
      <c r="AH49" s="2" t="s">
        <v>48</v>
      </c>
      <c r="AI49" s="21" t="s">
        <v>47</v>
      </c>
      <c r="AJ49" s="2" t="s">
        <v>48</v>
      </c>
      <c r="AK49" s="21" t="s">
        <v>47</v>
      </c>
      <c r="AM49" s="2">
        <f t="shared" si="3"/>
        <v>16</v>
      </c>
      <c r="AN49" s="2">
        <v>19</v>
      </c>
    </row>
    <row r="50" spans="1:40" x14ac:dyDescent="0.25">
      <c r="A50" s="2"/>
      <c r="B50" s="2"/>
      <c r="C50" s="2"/>
      <c r="D50" s="18" t="s">
        <v>37</v>
      </c>
      <c r="E50" s="19">
        <f>E49*1.2</f>
        <v>5290.6633319455368</v>
      </c>
      <c r="F50" s="9"/>
      <c r="G50" s="9"/>
      <c r="H50" s="9"/>
      <c r="I50" s="9"/>
      <c r="J50" s="9"/>
      <c r="K50" s="9"/>
      <c r="L50" s="9"/>
      <c r="M50" s="9"/>
      <c r="N50" s="2"/>
      <c r="O50" s="2" t="s">
        <v>49</v>
      </c>
      <c r="P50" s="2"/>
      <c r="Q50" s="2" t="s">
        <v>49</v>
      </c>
      <c r="S50" s="2" t="s">
        <v>49</v>
      </c>
      <c r="U50" s="2" t="s">
        <v>49</v>
      </c>
      <c r="W50" s="2" t="s">
        <v>49</v>
      </c>
      <c r="Y50" s="2" t="s">
        <v>49</v>
      </c>
      <c r="AA50" s="2" t="s">
        <v>49</v>
      </c>
      <c r="AC50" s="2" t="s">
        <v>49</v>
      </c>
      <c r="AE50" s="2" t="s">
        <v>49</v>
      </c>
      <c r="AG50" s="2" t="s">
        <v>49</v>
      </c>
      <c r="AI50" s="2" t="s">
        <v>49</v>
      </c>
      <c r="AK50" s="2" t="s">
        <v>49</v>
      </c>
      <c r="AM50" s="2">
        <f t="shared" si="3"/>
        <v>17</v>
      </c>
      <c r="AN50" s="2">
        <v>18</v>
      </c>
    </row>
    <row r="51" spans="1:40" x14ac:dyDescent="0.25">
      <c r="A51" s="2"/>
      <c r="B51" s="2"/>
      <c r="C51" s="2"/>
      <c r="D51" s="2"/>
      <c r="E51" s="15"/>
      <c r="F51" s="128" t="s">
        <v>12</v>
      </c>
      <c r="G51" s="128"/>
      <c r="H51" s="2"/>
      <c r="I51" s="2"/>
      <c r="J51" s="2"/>
      <c r="K51" s="2"/>
      <c r="L51" s="2"/>
      <c r="M51" s="2"/>
      <c r="N51" s="2"/>
      <c r="O51" s="21" t="s">
        <v>47</v>
      </c>
      <c r="P51" s="2" t="s">
        <v>48</v>
      </c>
      <c r="Q51" s="21" t="s">
        <v>47</v>
      </c>
      <c r="R51" s="2" t="s">
        <v>48</v>
      </c>
      <c r="S51" s="21" t="s">
        <v>47</v>
      </c>
      <c r="T51" s="2" t="s">
        <v>48</v>
      </c>
      <c r="U51" s="21" t="s">
        <v>47</v>
      </c>
      <c r="V51" s="2" t="s">
        <v>48</v>
      </c>
      <c r="W51" s="21" t="s">
        <v>47</v>
      </c>
      <c r="X51" s="2" t="s">
        <v>48</v>
      </c>
      <c r="Y51" s="21" t="s">
        <v>47</v>
      </c>
      <c r="Z51" s="2" t="s">
        <v>48</v>
      </c>
      <c r="AA51" s="21" t="s">
        <v>47</v>
      </c>
      <c r="AB51" s="2" t="s">
        <v>48</v>
      </c>
      <c r="AC51" s="21" t="s">
        <v>47</v>
      </c>
      <c r="AD51" s="2" t="s">
        <v>48</v>
      </c>
      <c r="AE51" s="21" t="s">
        <v>47</v>
      </c>
      <c r="AF51" s="2" t="s">
        <v>48</v>
      </c>
      <c r="AG51" s="21" t="s">
        <v>47</v>
      </c>
      <c r="AH51" s="2" t="s">
        <v>48</v>
      </c>
      <c r="AI51" s="21" t="s">
        <v>47</v>
      </c>
      <c r="AJ51" s="2" t="s">
        <v>48</v>
      </c>
      <c r="AK51" s="21" t="s">
        <v>47</v>
      </c>
      <c r="AM51" s="2">
        <f t="shared" si="3"/>
        <v>1</v>
      </c>
      <c r="AN51" s="2">
        <v>17</v>
      </c>
    </row>
    <row r="52" spans="1:40" x14ac:dyDescent="0.25">
      <c r="A52" s="2"/>
      <c r="B52" s="2" t="s">
        <v>2</v>
      </c>
      <c r="C52" t="s">
        <v>360</v>
      </c>
      <c r="D52" s="2" t="s">
        <v>46</v>
      </c>
      <c r="E52" s="2"/>
      <c r="F52" s="2" t="s">
        <v>10</v>
      </c>
      <c r="G52">
        <f>IF(H53&gt;=K48,H53,K48)</f>
        <v>2</v>
      </c>
      <c r="H52" s="23" cm="1">
        <f t="array" ref="H52">nose(E53,L47)</f>
        <v>2</v>
      </c>
      <c r="I52" s="2"/>
      <c r="J52" s="129"/>
      <c r="K52" s="2"/>
      <c r="L52" s="2"/>
      <c r="M52" s="2"/>
      <c r="N52" s="2"/>
      <c r="O52" s="2" t="s">
        <v>49</v>
      </c>
      <c r="P52" s="2"/>
      <c r="Q52" s="2" t="s">
        <v>49</v>
      </c>
      <c r="S52" s="2" t="s">
        <v>49</v>
      </c>
      <c r="U52" s="2" t="s">
        <v>49</v>
      </c>
      <c r="W52" s="2" t="s">
        <v>49</v>
      </c>
      <c r="Y52" s="2" t="s">
        <v>49</v>
      </c>
      <c r="AA52" s="2" t="s">
        <v>49</v>
      </c>
      <c r="AC52" s="2" t="s">
        <v>49</v>
      </c>
      <c r="AE52" s="2" t="s">
        <v>49</v>
      </c>
      <c r="AG52" s="2" t="s">
        <v>49</v>
      </c>
      <c r="AI52" s="2" t="s">
        <v>49</v>
      </c>
      <c r="AK52" s="2" t="s">
        <v>49</v>
      </c>
      <c r="AM52" s="2">
        <f t="shared" si="3"/>
        <v>3</v>
      </c>
      <c r="AN52" s="2">
        <v>16</v>
      </c>
    </row>
    <row r="53" spans="1:40" x14ac:dyDescent="0.25">
      <c r="A53" s="2"/>
      <c r="B53" s="2" t="s">
        <v>1</v>
      </c>
      <c r="C53" s="2">
        <f>IF(D46=2,E49/C54,E49*1000/C54)</f>
        <v>11.757029626545638</v>
      </c>
      <c r="D53" s="23">
        <f>ROUNDUP(C53,0)</f>
        <v>12</v>
      </c>
      <c r="E53" s="9" cm="1">
        <f t="array" ref="E53">+IF(nose(D53,L47)=1,D53+1,D53)</f>
        <v>12</v>
      </c>
      <c r="F53" s="2" t="s">
        <v>11</v>
      </c>
      <c r="G53" s="2">
        <f>ROUNDUP(D53/H53,0)</f>
        <v>6</v>
      </c>
      <c r="H53" s="47">
        <f>+IF(D53&lt;=L47,D53, H52)</f>
        <v>2</v>
      </c>
      <c r="I53" s="2"/>
      <c r="J53" s="129"/>
      <c r="K53" s="2"/>
      <c r="L53" s="2"/>
      <c r="M53" s="2"/>
      <c r="N53" s="2"/>
      <c r="O53" s="21" t="s">
        <v>47</v>
      </c>
      <c r="P53" s="2" t="s">
        <v>48</v>
      </c>
      <c r="Q53" s="21" t="s">
        <v>47</v>
      </c>
      <c r="R53" s="2" t="s">
        <v>48</v>
      </c>
      <c r="S53" s="21" t="s">
        <v>47</v>
      </c>
      <c r="T53" s="2" t="s">
        <v>48</v>
      </c>
      <c r="U53" s="21" t="s">
        <v>47</v>
      </c>
      <c r="V53" s="2" t="s">
        <v>48</v>
      </c>
      <c r="W53" s="21" t="s">
        <v>47</v>
      </c>
      <c r="X53" s="2" t="s">
        <v>48</v>
      </c>
      <c r="Y53" s="21" t="s">
        <v>47</v>
      </c>
      <c r="Z53" s="2" t="s">
        <v>48</v>
      </c>
      <c r="AA53" s="21" t="s">
        <v>47</v>
      </c>
      <c r="AB53" s="2" t="s">
        <v>48</v>
      </c>
      <c r="AC53" s="21" t="s">
        <v>47</v>
      </c>
      <c r="AD53" s="2" t="s">
        <v>48</v>
      </c>
      <c r="AE53" s="21" t="s">
        <v>47</v>
      </c>
      <c r="AF53" s="2" t="s">
        <v>48</v>
      </c>
      <c r="AG53" s="21" t="s">
        <v>47</v>
      </c>
      <c r="AH53" s="2" t="s">
        <v>48</v>
      </c>
      <c r="AI53" s="21" t="s">
        <v>47</v>
      </c>
      <c r="AJ53" s="2" t="s">
        <v>48</v>
      </c>
      <c r="AK53" s="21" t="s">
        <v>47</v>
      </c>
      <c r="AM53" s="2">
        <f t="shared" si="3"/>
        <v>5</v>
      </c>
      <c r="AN53" s="2">
        <v>15</v>
      </c>
    </row>
    <row r="54" spans="1:40" ht="15.75" x14ac:dyDescent="0.25">
      <c r="A54" s="2"/>
      <c r="B54" s="2" t="s">
        <v>6</v>
      </c>
      <c r="C54" s="6">
        <v>375</v>
      </c>
      <c r="D54" s="2">
        <f>+C54*D53</f>
        <v>4500</v>
      </c>
      <c r="E54" s="2"/>
      <c r="F54" s="27" t="s">
        <v>14</v>
      </c>
      <c r="G54" s="27">
        <f>G52*G53</f>
        <v>12</v>
      </c>
      <c r="H54" s="2"/>
      <c r="I54" s="2"/>
      <c r="J54" s="2"/>
      <c r="K54" s="2">
        <f>13/4</f>
        <v>3.25</v>
      </c>
      <c r="L54" s="2"/>
      <c r="M54" s="2"/>
      <c r="N54" s="2"/>
      <c r="O54" s="2" t="s">
        <v>49</v>
      </c>
      <c r="P54" s="2"/>
      <c r="Q54" s="2" t="s">
        <v>49</v>
      </c>
      <c r="S54" s="2" t="s">
        <v>49</v>
      </c>
      <c r="U54" s="2" t="s">
        <v>49</v>
      </c>
      <c r="W54" s="2" t="s">
        <v>49</v>
      </c>
      <c r="Y54" s="2" t="s">
        <v>49</v>
      </c>
      <c r="AA54" s="2" t="s">
        <v>49</v>
      </c>
      <c r="AC54" s="2" t="s">
        <v>49</v>
      </c>
      <c r="AE54" s="2" t="s">
        <v>49</v>
      </c>
      <c r="AG54" s="2" t="s">
        <v>49</v>
      </c>
      <c r="AI54" s="2" t="s">
        <v>49</v>
      </c>
      <c r="AK54" s="2" t="s">
        <v>49</v>
      </c>
      <c r="AM54" s="2">
        <f t="shared" si="3"/>
        <v>7</v>
      </c>
      <c r="AN54" s="2">
        <v>14</v>
      </c>
    </row>
    <row r="55" spans="1:40" x14ac:dyDescent="0.25">
      <c r="A55" s="2"/>
      <c r="B55" s="2" t="s">
        <v>9</v>
      </c>
      <c r="D55" s="2">
        <f>+C54*10</f>
        <v>3750</v>
      </c>
      <c r="E55" s="2">
        <f>19*C54</f>
        <v>7125</v>
      </c>
      <c r="F55" s="2"/>
      <c r="G55" s="2"/>
      <c r="H55" s="2"/>
      <c r="I55" s="2"/>
      <c r="J55" s="2"/>
      <c r="K55" s="2"/>
      <c r="L55" s="2"/>
      <c r="M55" s="2"/>
      <c r="N55" s="2"/>
      <c r="O55" s="21" t="s">
        <v>47</v>
      </c>
      <c r="P55" s="2" t="s">
        <v>48</v>
      </c>
      <c r="Q55" s="21" t="s">
        <v>47</v>
      </c>
      <c r="R55" s="2" t="s">
        <v>48</v>
      </c>
      <c r="S55" s="21" t="s">
        <v>47</v>
      </c>
      <c r="T55" s="2" t="s">
        <v>48</v>
      </c>
      <c r="U55" s="21" t="s">
        <v>47</v>
      </c>
      <c r="V55" s="2" t="s">
        <v>48</v>
      </c>
      <c r="W55" s="21" t="s">
        <v>47</v>
      </c>
      <c r="X55" s="2" t="s">
        <v>48</v>
      </c>
      <c r="Y55" s="21" t="s">
        <v>47</v>
      </c>
      <c r="Z55" s="2" t="s">
        <v>48</v>
      </c>
      <c r="AA55" s="21" t="s">
        <v>47</v>
      </c>
      <c r="AB55" s="2" t="s">
        <v>48</v>
      </c>
      <c r="AC55" s="21" t="s">
        <v>47</v>
      </c>
      <c r="AD55" s="2" t="s">
        <v>48</v>
      </c>
      <c r="AE55" s="21" t="s">
        <v>47</v>
      </c>
      <c r="AF55" s="2" t="s">
        <v>48</v>
      </c>
      <c r="AG55" s="21" t="s">
        <v>47</v>
      </c>
      <c r="AH55" s="2" t="s">
        <v>48</v>
      </c>
      <c r="AI55" s="21" t="s">
        <v>47</v>
      </c>
      <c r="AJ55" s="2" t="s">
        <v>48</v>
      </c>
      <c r="AK55" s="21" t="s">
        <v>47</v>
      </c>
      <c r="AM55" s="2">
        <f t="shared" si="3"/>
        <v>9</v>
      </c>
      <c r="AN55" s="2">
        <v>13</v>
      </c>
    </row>
    <row r="56" spans="1:40" x14ac:dyDescent="0.25">
      <c r="A56" s="2"/>
      <c r="B56" s="2" t="s">
        <v>361</v>
      </c>
      <c r="C56" s="2">
        <v>48.3</v>
      </c>
      <c r="D56" s="2">
        <f>2*C57</f>
        <v>79.2</v>
      </c>
      <c r="E56" s="2">
        <f>+D56*D57</f>
        <v>3750.1200000000003</v>
      </c>
      <c r="F56" s="128" t="s">
        <v>35</v>
      </c>
      <c r="G56" s="128"/>
      <c r="H56" s="2"/>
      <c r="I56" s="2"/>
      <c r="J56" s="2"/>
      <c r="K56" s="2"/>
      <c r="L56" s="2"/>
      <c r="M56" s="2"/>
      <c r="N56" s="2"/>
      <c r="O56" s="2" t="s">
        <v>49</v>
      </c>
      <c r="P56" s="2"/>
      <c r="Q56" s="2" t="s">
        <v>49</v>
      </c>
      <c r="S56" s="2" t="s">
        <v>49</v>
      </c>
      <c r="U56" s="2" t="s">
        <v>49</v>
      </c>
      <c r="W56" s="2" t="s">
        <v>49</v>
      </c>
      <c r="Y56" s="2" t="s">
        <v>49</v>
      </c>
      <c r="AA56" s="2" t="s">
        <v>49</v>
      </c>
      <c r="AC56" s="2" t="s">
        <v>49</v>
      </c>
      <c r="AE56" s="2" t="s">
        <v>49</v>
      </c>
      <c r="AG56" s="2" t="s">
        <v>49</v>
      </c>
      <c r="AI56" s="2" t="s">
        <v>49</v>
      </c>
      <c r="AK56" s="2" t="s">
        <v>49</v>
      </c>
      <c r="AM56" s="2">
        <f t="shared" si="3"/>
        <v>11</v>
      </c>
      <c r="AN56" s="2">
        <v>12</v>
      </c>
    </row>
    <row r="57" spans="1:40" x14ac:dyDescent="0.25">
      <c r="A57" s="2"/>
      <c r="B57" s="2" t="s">
        <v>7</v>
      </c>
      <c r="C57" s="2">
        <v>39.6</v>
      </c>
      <c r="D57" s="2">
        <f>5*C58</f>
        <v>47.35</v>
      </c>
      <c r="E57" s="2"/>
      <c r="F57" s="31"/>
      <c r="G57" s="31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40" x14ac:dyDescent="0.25">
      <c r="A58" s="2"/>
      <c r="B58" s="2" t="s">
        <v>407</v>
      </c>
      <c r="C58" s="2">
        <v>9.4700000000000006</v>
      </c>
      <c r="D58" s="2"/>
      <c r="E58" s="2"/>
      <c r="F58" s="2" t="s">
        <v>30</v>
      </c>
      <c r="G58" s="2">
        <f>C56*H53</f>
        <v>96.6</v>
      </c>
      <c r="H58" s="2"/>
      <c r="I58" s="2"/>
      <c r="J58" s="2"/>
      <c r="K58" s="2"/>
      <c r="L58" s="2"/>
      <c r="M58" s="2"/>
      <c r="N58" s="2"/>
      <c r="O58" s="21" t="s">
        <v>47</v>
      </c>
      <c r="P58" s="2" t="s">
        <v>48</v>
      </c>
      <c r="Q58" s="21" t="s">
        <v>47</v>
      </c>
      <c r="R58" s="2" t="s">
        <v>48</v>
      </c>
      <c r="S58" s="21" t="s">
        <v>47</v>
      </c>
      <c r="T58" s="2" t="s">
        <v>48</v>
      </c>
      <c r="U58" s="21" t="s">
        <v>47</v>
      </c>
      <c r="V58" s="2" t="s">
        <v>48</v>
      </c>
      <c r="W58" s="21" t="s">
        <v>47</v>
      </c>
      <c r="X58" s="2" t="s">
        <v>48</v>
      </c>
      <c r="Y58" s="21" t="s">
        <v>47</v>
      </c>
      <c r="Z58" s="2" t="s">
        <v>48</v>
      </c>
      <c r="AA58" s="21" t="s">
        <v>47</v>
      </c>
      <c r="AB58" s="2" t="s">
        <v>48</v>
      </c>
      <c r="AC58" s="21" t="s">
        <v>47</v>
      </c>
      <c r="AD58" s="2" t="s">
        <v>48</v>
      </c>
      <c r="AE58" s="21" t="s">
        <v>47</v>
      </c>
      <c r="AF58" s="2" t="s">
        <v>48</v>
      </c>
      <c r="AG58" s="21" t="s">
        <v>47</v>
      </c>
      <c r="AH58" s="2" t="s">
        <v>48</v>
      </c>
      <c r="AI58" s="21" t="s">
        <v>47</v>
      </c>
      <c r="AJ58" s="2" t="s">
        <v>48</v>
      </c>
      <c r="AK58" s="21" t="s">
        <v>47</v>
      </c>
      <c r="AM58" s="2">
        <f t="shared" si="3"/>
        <v>2</v>
      </c>
      <c r="AN58" s="2">
        <v>11</v>
      </c>
    </row>
    <row r="59" spans="1:40" x14ac:dyDescent="0.25">
      <c r="A59" s="2"/>
      <c r="B59" s="2" t="s">
        <v>336</v>
      </c>
      <c r="C59" s="2">
        <v>24</v>
      </c>
      <c r="D59" s="2">
        <f>C59*D53</f>
        <v>288</v>
      </c>
      <c r="E59" s="2"/>
      <c r="F59" s="2" t="s">
        <v>7</v>
      </c>
      <c r="G59" s="2">
        <f>C57*H53</f>
        <v>79.2</v>
      </c>
      <c r="H59" s="2"/>
      <c r="I59" s="130" t="s">
        <v>352</v>
      </c>
      <c r="J59" s="130"/>
      <c r="K59" s="2"/>
      <c r="L59" s="2"/>
      <c r="M59" s="2"/>
      <c r="N59" s="2"/>
      <c r="O59" s="21"/>
      <c r="P59" s="2"/>
      <c r="Q59" s="21"/>
      <c r="S59" s="21"/>
      <c r="U59" s="21"/>
      <c r="W59" s="21"/>
      <c r="Y59" s="21"/>
      <c r="AA59" s="21"/>
      <c r="AC59" s="21"/>
      <c r="AE59" s="21"/>
      <c r="AG59" s="21"/>
      <c r="AI59" s="21"/>
      <c r="AK59" s="21"/>
    </row>
    <row r="60" spans="1:40" x14ac:dyDescent="0.25">
      <c r="A60" s="2"/>
      <c r="B60" s="2" t="s">
        <v>297</v>
      </c>
      <c r="C60" s="28">
        <v>478600</v>
      </c>
      <c r="D60" s="2"/>
      <c r="E60" s="2"/>
      <c r="F60" s="2" t="s">
        <v>74</v>
      </c>
      <c r="G60" s="2">
        <f>G53*C58</f>
        <v>56.820000000000007</v>
      </c>
      <c r="H60" s="2"/>
      <c r="I60" s="130"/>
      <c r="J60" s="130"/>
      <c r="K60" s="2"/>
      <c r="L60" s="2"/>
      <c r="M60" s="2"/>
      <c r="N60" s="2"/>
      <c r="O60" s="2" t="s">
        <v>49</v>
      </c>
      <c r="P60" s="2"/>
      <c r="Q60" s="2" t="s">
        <v>49</v>
      </c>
      <c r="S60" s="2" t="s">
        <v>49</v>
      </c>
      <c r="U60" s="2" t="s">
        <v>49</v>
      </c>
      <c r="W60" s="2" t="s">
        <v>49</v>
      </c>
      <c r="Y60" s="2" t="s">
        <v>49</v>
      </c>
      <c r="AA60" s="2" t="s">
        <v>49</v>
      </c>
      <c r="AC60" s="2" t="s">
        <v>49</v>
      </c>
      <c r="AE60" s="2" t="s">
        <v>49</v>
      </c>
      <c r="AG60" s="2" t="s">
        <v>49</v>
      </c>
      <c r="AI60" s="2" t="s">
        <v>49</v>
      </c>
      <c r="AK60" s="2" t="s">
        <v>49</v>
      </c>
      <c r="AM60" s="2">
        <f t="shared" si="3"/>
        <v>5</v>
      </c>
      <c r="AN60" s="2">
        <v>10</v>
      </c>
    </row>
    <row r="61" spans="1:40" x14ac:dyDescent="0.25">
      <c r="A61" s="2"/>
      <c r="B61" s="2"/>
      <c r="C61" s="44">
        <f>C60*D53</f>
        <v>5743200</v>
      </c>
      <c r="D61" s="2"/>
      <c r="E61" s="2"/>
      <c r="F61" s="2" t="s">
        <v>13</v>
      </c>
      <c r="G61" s="2">
        <f>C54*G54</f>
        <v>4500</v>
      </c>
      <c r="H61" s="2"/>
      <c r="I61" s="2"/>
      <c r="J61" s="2"/>
      <c r="K61" s="2"/>
      <c r="L61" s="2"/>
      <c r="M61" s="2"/>
      <c r="N61" s="2"/>
      <c r="O61" s="21" t="s">
        <v>47</v>
      </c>
      <c r="P61" s="2" t="s">
        <v>48</v>
      </c>
      <c r="Q61" s="21" t="s">
        <v>47</v>
      </c>
      <c r="R61" s="2" t="s">
        <v>48</v>
      </c>
      <c r="S61" s="21" t="s">
        <v>47</v>
      </c>
      <c r="T61" s="2" t="s">
        <v>48</v>
      </c>
      <c r="U61" s="21" t="s">
        <v>47</v>
      </c>
      <c r="V61" s="2" t="s">
        <v>48</v>
      </c>
      <c r="W61" s="21" t="s">
        <v>47</v>
      </c>
      <c r="X61" s="2" t="s">
        <v>48</v>
      </c>
      <c r="Y61" s="21" t="s">
        <v>47</v>
      </c>
      <c r="Z61" s="2" t="s">
        <v>48</v>
      </c>
      <c r="AA61" s="21" t="s">
        <v>47</v>
      </c>
      <c r="AB61" s="2" t="s">
        <v>48</v>
      </c>
      <c r="AC61" s="21" t="s">
        <v>47</v>
      </c>
      <c r="AD61" s="2" t="s">
        <v>48</v>
      </c>
      <c r="AE61" s="21" t="s">
        <v>47</v>
      </c>
      <c r="AF61" s="2" t="s">
        <v>48</v>
      </c>
      <c r="AG61" s="21" t="s">
        <v>47</v>
      </c>
      <c r="AH61" s="2" t="s">
        <v>48</v>
      </c>
      <c r="AI61" s="21" t="s">
        <v>47</v>
      </c>
      <c r="AJ61" s="2" t="s">
        <v>48</v>
      </c>
      <c r="AK61" s="21" t="s">
        <v>47</v>
      </c>
      <c r="AM61" s="2">
        <f t="shared" si="3"/>
        <v>8</v>
      </c>
      <c r="AN61" s="2">
        <v>9</v>
      </c>
    </row>
    <row r="62" spans="1:40" ht="23.25" x14ac:dyDescent="0.35">
      <c r="A62" s="2"/>
      <c r="B62" s="2"/>
      <c r="C62" s="2"/>
      <c r="D62" s="2"/>
      <c r="E62" s="2"/>
      <c r="F62" s="123" t="s">
        <v>394</v>
      </c>
      <c r="G62" s="123"/>
      <c r="H62" s="58">
        <f>+D54*G4*D41</f>
        <v>13472.790749999998</v>
      </c>
      <c r="I62" s="2"/>
      <c r="J62" s="2"/>
      <c r="K62" s="2"/>
      <c r="L62" s="2"/>
      <c r="M62" s="2"/>
      <c r="N62" s="2"/>
      <c r="O62" s="2"/>
      <c r="P62" s="2"/>
      <c r="Q62" s="2"/>
      <c r="AM62" s="2">
        <f t="shared" si="3"/>
        <v>3</v>
      </c>
      <c r="AN62" s="2">
        <v>8</v>
      </c>
    </row>
    <row r="63" spans="1:40" x14ac:dyDescent="0.25">
      <c r="A63" s="2"/>
      <c r="B63" s="2"/>
      <c r="C63" s="2">
        <f>+C57*C58</f>
        <v>375.01200000000006</v>
      </c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AM63" s="2">
        <f t="shared" si="3"/>
        <v>0</v>
      </c>
      <c r="AN63" s="2">
        <v>7</v>
      </c>
    </row>
    <row r="64" spans="1:40" x14ac:dyDescent="0.25">
      <c r="A64" s="2"/>
      <c r="B64" s="126" t="s">
        <v>33</v>
      </c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2"/>
      <c r="O64" s="2"/>
      <c r="P64" s="2"/>
      <c r="Q64" s="2"/>
      <c r="AM64" s="2">
        <f t="shared" si="3"/>
        <v>5</v>
      </c>
      <c r="AN64" s="2">
        <v>6</v>
      </c>
    </row>
    <row r="65" spans="1:4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AM65" s="2">
        <f t="shared" si="3"/>
        <v>0</v>
      </c>
      <c r="AN65" s="2">
        <v>5</v>
      </c>
    </row>
    <row r="66" spans="1:40" x14ac:dyDescent="0.25">
      <c r="A66" s="2"/>
      <c r="B66" s="2"/>
      <c r="C66" s="2"/>
      <c r="D66" s="2"/>
      <c r="E66" s="2"/>
      <c r="F66" s="2"/>
      <c r="G66" s="2"/>
      <c r="H66" s="2">
        <f>150*30</f>
        <v>4500</v>
      </c>
      <c r="I66" s="2"/>
      <c r="J66" s="2"/>
      <c r="K66" s="2"/>
      <c r="L66" s="2"/>
      <c r="M66" s="2"/>
      <c r="N66" s="2"/>
      <c r="O66" s="2"/>
      <c r="P66" s="2"/>
      <c r="Q66" s="2"/>
      <c r="AM66" s="2">
        <f t="shared" si="3"/>
        <v>3</v>
      </c>
      <c r="AN66" s="2">
        <v>4</v>
      </c>
    </row>
    <row r="67" spans="1:40" x14ac:dyDescent="0.25">
      <c r="A67" s="2"/>
      <c r="B67" s="2" t="s">
        <v>45</v>
      </c>
      <c r="C67" s="2">
        <v>130</v>
      </c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AM67" s="2">
        <f t="shared" si="3"/>
        <v>2</v>
      </c>
      <c r="AN67" s="2">
        <v>3</v>
      </c>
    </row>
    <row r="68" spans="1:4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AM68" s="2">
        <f t="shared" si="3"/>
        <v>1</v>
      </c>
      <c r="AN68" s="2">
        <v>2</v>
      </c>
    </row>
    <row r="69" spans="1:4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AM69" s="2">
        <f t="shared" si="3"/>
        <v>0</v>
      </c>
      <c r="AN69" s="2">
        <v>1</v>
      </c>
    </row>
    <row r="70" spans="1:40" x14ac:dyDescent="0.25">
      <c r="A70" s="2"/>
      <c r="B70" s="2"/>
      <c r="C70" s="2"/>
      <c r="D70" s="2"/>
      <c r="E70" s="2"/>
      <c r="F70" s="2">
        <v>1750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1:40" x14ac:dyDescent="0.25">
      <c r="A71" s="2"/>
      <c r="B71" s="2"/>
      <c r="C71" s="2">
        <f>588*12/1150</f>
        <v>6.1356521739130434</v>
      </c>
      <c r="D71" s="2"/>
      <c r="E71" s="2"/>
      <c r="F71" s="2">
        <f>+F70/120</f>
        <v>14.583333333333334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spans="1:4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1:4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spans="1:40" x14ac:dyDescent="0.25">
      <c r="A74" s="2"/>
      <c r="B74" s="126" t="s">
        <v>32</v>
      </c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2"/>
      <c r="O74" s="2"/>
      <c r="P74" s="2"/>
      <c r="Q74" s="2"/>
    </row>
    <row r="75" spans="1:4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 t="s">
        <v>290</v>
      </c>
      <c r="L75" s="2">
        <f>K25*1000</f>
        <v>13200</v>
      </c>
      <c r="M75" s="2"/>
      <c r="N75" s="2">
        <f>+L75/(L79*L77*L78)</f>
        <v>1718.7499999999998</v>
      </c>
      <c r="O75" s="2"/>
      <c r="P75" s="2"/>
      <c r="Q75" s="2"/>
    </row>
    <row r="76" spans="1:40" x14ac:dyDescent="0.25">
      <c r="A76" s="2"/>
      <c r="B76" s="2"/>
      <c r="C76" s="2" t="s">
        <v>66</v>
      </c>
      <c r="D76" s="2">
        <f>(G29*1000)/(D81*365)</f>
        <v>275</v>
      </c>
      <c r="E76" s="2">
        <f>K25*1000/D4</f>
        <v>275</v>
      </c>
      <c r="F76" s="37" t="s">
        <v>295</v>
      </c>
      <c r="G76" s="2"/>
      <c r="H76" s="2"/>
      <c r="I76" s="2"/>
      <c r="J76" s="2"/>
      <c r="K76" s="2" t="s">
        <v>289</v>
      </c>
      <c r="L76" s="2">
        <f>L75/L77</f>
        <v>16500</v>
      </c>
      <c r="N76" s="2"/>
      <c r="O76" s="2"/>
      <c r="P76" s="2"/>
      <c r="Q76" s="2"/>
    </row>
    <row r="77" spans="1:40" x14ac:dyDescent="0.25">
      <c r="A77" s="2"/>
      <c r="B77" s="2"/>
      <c r="C77" s="2" t="s">
        <v>57</v>
      </c>
      <c r="D77" s="38">
        <v>3</v>
      </c>
      <c r="E77" s="2"/>
      <c r="F77" s="2">
        <f>+E76/D79</f>
        <v>305.55555555555554</v>
      </c>
      <c r="G77" s="2">
        <v>1</v>
      </c>
      <c r="H77" s="2"/>
      <c r="I77" s="2"/>
      <c r="J77" s="2"/>
      <c r="K77" s="2" t="s">
        <v>294</v>
      </c>
      <c r="L77" s="2">
        <v>0.8</v>
      </c>
      <c r="M77" s="2"/>
      <c r="N77" s="2"/>
      <c r="O77" s="2"/>
      <c r="P77" s="2"/>
      <c r="Q77" s="2"/>
    </row>
    <row r="78" spans="1:40" x14ac:dyDescent="0.25">
      <c r="A78" s="2"/>
      <c r="B78" s="2"/>
      <c r="C78" s="2" t="s">
        <v>58</v>
      </c>
      <c r="D78" s="36">
        <v>0.8</v>
      </c>
      <c r="E78" s="32">
        <v>0.52</v>
      </c>
      <c r="F78" s="2">
        <f>F77/D78</f>
        <v>381.9444444444444</v>
      </c>
      <c r="G78" s="2">
        <v>2</v>
      </c>
      <c r="H78" s="2"/>
      <c r="I78" s="2"/>
      <c r="J78" s="2"/>
      <c r="K78" s="2" t="s">
        <v>293</v>
      </c>
      <c r="L78" s="2">
        <v>12</v>
      </c>
      <c r="M78" s="2"/>
      <c r="N78" s="2">
        <f>L76/L79</f>
        <v>20625</v>
      </c>
      <c r="O78" s="2"/>
      <c r="P78" s="2"/>
      <c r="Q78" s="2"/>
    </row>
    <row r="79" spans="1:40" x14ac:dyDescent="0.25">
      <c r="A79" s="2"/>
      <c r="B79" s="2"/>
      <c r="C79" s="2" t="s">
        <v>59</v>
      </c>
      <c r="D79" s="36">
        <v>0.9</v>
      </c>
      <c r="E79" s="2"/>
      <c r="F79" s="39">
        <f>F78*D77</f>
        <v>1145.8333333333333</v>
      </c>
      <c r="G79" s="2"/>
      <c r="H79" s="2"/>
      <c r="I79" s="2"/>
      <c r="J79" s="2"/>
      <c r="K79" s="2" t="s">
        <v>292</v>
      </c>
      <c r="L79" s="2">
        <v>0.8</v>
      </c>
      <c r="M79" s="2"/>
      <c r="N79" s="2">
        <f>+N78/L78</f>
        <v>1718.75</v>
      </c>
      <c r="O79" s="2"/>
      <c r="P79" s="2"/>
      <c r="Q79" s="2"/>
    </row>
    <row r="80" spans="1:40" x14ac:dyDescent="0.25">
      <c r="A80" s="2"/>
      <c r="B80" s="2"/>
      <c r="C80" s="2" t="s">
        <v>418</v>
      </c>
      <c r="D80" s="2">
        <f>((D76/24)*D87)/(D78*D79*(D87/(D77*24)))</f>
        <v>1145.8333333333333</v>
      </c>
      <c r="E80" s="2">
        <f>((D76/24)*D87)/(E78*D79*(D87/(D77*24)))</f>
        <v>1762.8205128205129</v>
      </c>
      <c r="F80" s="2"/>
      <c r="G80" s="2"/>
      <c r="H80" s="2"/>
      <c r="I80" s="2"/>
      <c r="J80" s="2"/>
      <c r="K80" s="2" t="s">
        <v>291</v>
      </c>
      <c r="L80" s="2">
        <f>L76/(L79*L78)</f>
        <v>1718.7499999999998</v>
      </c>
      <c r="M80" s="2"/>
      <c r="N80" s="2">
        <f>+N79/L79</f>
        <v>2148.4375</v>
      </c>
      <c r="O80" s="2"/>
      <c r="P80" s="2"/>
      <c r="Q80" s="2"/>
    </row>
    <row r="81" spans="1:17" x14ac:dyDescent="0.25">
      <c r="A81" s="2"/>
      <c r="B81" s="2"/>
      <c r="C81" s="2" t="s">
        <v>419</v>
      </c>
      <c r="D81" s="2">
        <v>48</v>
      </c>
      <c r="E81" s="2"/>
      <c r="F81" s="2"/>
      <c r="G81" s="2" t="s">
        <v>12</v>
      </c>
      <c r="H81" s="5" t="s">
        <v>63</v>
      </c>
      <c r="I81" s="5" t="s">
        <v>64</v>
      </c>
      <c r="J81" s="2"/>
      <c r="K81" s="2"/>
      <c r="L81" s="2"/>
      <c r="M81" s="2"/>
      <c r="N81" s="2"/>
      <c r="O81" s="2"/>
      <c r="P81" s="2"/>
      <c r="Q81" s="2"/>
    </row>
    <row r="82" spans="1:17" x14ac:dyDescent="0.25">
      <c r="A82" s="2"/>
      <c r="B82" s="2"/>
      <c r="C82" s="2"/>
      <c r="D82" s="2"/>
      <c r="E82" s="2"/>
      <c r="F82" s="2"/>
      <c r="G82" s="2" t="s">
        <v>61</v>
      </c>
      <c r="H82" s="2">
        <f>D81/D86</f>
        <v>1</v>
      </c>
      <c r="I82" s="2">
        <f>D81/D86</f>
        <v>1</v>
      </c>
      <c r="J82" s="2"/>
      <c r="K82" s="2"/>
      <c r="L82" s="2"/>
      <c r="M82" s="2"/>
      <c r="N82" s="2"/>
      <c r="O82" s="2"/>
      <c r="P82" s="2"/>
      <c r="Q82" s="2"/>
    </row>
    <row r="83" spans="1:17" ht="15.75" thickBot="1" x14ac:dyDescent="0.3">
      <c r="A83" s="2"/>
      <c r="B83" s="2" t="str">
        <f>+D83</f>
        <v xml:space="preserve">Batería de Litio Narada 48v- 100AH </v>
      </c>
      <c r="C83" s="2" t="s">
        <v>54</v>
      </c>
      <c r="D83" s="128" t="s">
        <v>423</v>
      </c>
      <c r="E83" s="128"/>
      <c r="F83" s="128"/>
      <c r="G83" s="2" t="s">
        <v>62</v>
      </c>
      <c r="H83" s="2">
        <f>ROUNDUP(H84,0)</f>
        <v>12</v>
      </c>
      <c r="I83" s="2">
        <f>ROUNDUP(I84,0)</f>
        <v>18</v>
      </c>
      <c r="J83" s="2"/>
      <c r="K83" s="2"/>
      <c r="L83" s="2"/>
      <c r="M83" s="2"/>
      <c r="N83" s="2"/>
      <c r="O83" s="2"/>
      <c r="P83" s="2"/>
      <c r="Q83" s="2"/>
    </row>
    <row r="84" spans="1:17" ht="15.75" thickBot="1" x14ac:dyDescent="0.3">
      <c r="A84" s="2"/>
      <c r="B84" s="2"/>
      <c r="C84" s="2" t="s">
        <v>60</v>
      </c>
      <c r="D84" s="33">
        <f>H83*H82</f>
        <v>12</v>
      </c>
      <c r="E84" s="2">
        <f>I83*I82</f>
        <v>18</v>
      </c>
      <c r="F84" s="2"/>
      <c r="G84" s="2"/>
      <c r="H84" s="2">
        <f>D80/D85</f>
        <v>11.458333333333332</v>
      </c>
      <c r="I84" s="2">
        <f>E80/D85</f>
        <v>17.628205128205128</v>
      </c>
      <c r="J84" s="2"/>
      <c r="K84" s="2"/>
      <c r="L84" s="2"/>
      <c r="M84" s="2"/>
      <c r="N84" s="2"/>
      <c r="O84" s="2"/>
      <c r="P84" s="2"/>
      <c r="Q84" s="2"/>
    </row>
    <row r="85" spans="1:17" x14ac:dyDescent="0.25">
      <c r="A85" s="2"/>
      <c r="B85" s="2"/>
      <c r="C85" s="2" t="s">
        <v>67</v>
      </c>
      <c r="D85" s="6">
        <v>100</v>
      </c>
      <c r="E85" s="50" t="s">
        <v>337</v>
      </c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1:17" x14ac:dyDescent="0.25">
      <c r="A86" s="2"/>
      <c r="B86" s="2"/>
      <c r="C86" s="2" t="s">
        <v>68</v>
      </c>
      <c r="D86" s="53">
        <v>48</v>
      </c>
      <c r="E86" s="50" t="s">
        <v>338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1:17" x14ac:dyDescent="0.25">
      <c r="A87" s="2"/>
      <c r="B87" s="2"/>
      <c r="C87" s="2" t="s">
        <v>69</v>
      </c>
      <c r="D87" s="2">
        <v>10</v>
      </c>
      <c r="E87" s="2"/>
      <c r="F87" s="2" t="s">
        <v>339</v>
      </c>
      <c r="G87" s="48">
        <v>5000000</v>
      </c>
      <c r="H87" s="2" t="s">
        <v>345</v>
      </c>
      <c r="I87" s="2"/>
      <c r="J87" s="2"/>
      <c r="K87" s="2"/>
      <c r="L87" s="2"/>
      <c r="M87" s="2"/>
      <c r="N87" s="2"/>
      <c r="O87" s="2" t="s">
        <v>341</v>
      </c>
      <c r="P87" s="2"/>
      <c r="Q87" s="2"/>
    </row>
    <row r="88" spans="1:17" x14ac:dyDescent="0.25">
      <c r="A88" s="2"/>
      <c r="B88" s="2"/>
      <c r="C88" s="2" t="s">
        <v>56</v>
      </c>
      <c r="D88" s="2">
        <v>1</v>
      </c>
      <c r="E88" s="2"/>
      <c r="F88" s="2" t="s">
        <v>349</v>
      </c>
      <c r="G88" s="48">
        <v>8000000</v>
      </c>
      <c r="H88" s="2"/>
      <c r="I88" s="2"/>
      <c r="J88" s="2"/>
      <c r="K88" s="2"/>
      <c r="L88" s="2"/>
      <c r="M88" s="2"/>
      <c r="N88" s="2"/>
      <c r="O88" s="2" t="s">
        <v>340</v>
      </c>
      <c r="P88" s="2"/>
      <c r="Q88" s="2"/>
    </row>
    <row r="89" spans="1:17" x14ac:dyDescent="0.25">
      <c r="A89" s="2"/>
      <c r="B89" s="2"/>
      <c r="C89" s="2" t="s">
        <v>87</v>
      </c>
      <c r="D89" s="2" t="s">
        <v>88</v>
      </c>
      <c r="E89" s="2"/>
      <c r="F89" s="43">
        <f>Baterias!F8</f>
        <v>1621828</v>
      </c>
      <c r="G89" s="2" t="s">
        <v>325</v>
      </c>
      <c r="H89" s="2"/>
      <c r="I89" s="2"/>
      <c r="J89" s="2"/>
      <c r="K89" s="2"/>
      <c r="L89" s="2"/>
      <c r="M89" s="2"/>
      <c r="N89" s="2"/>
      <c r="O89" s="2"/>
      <c r="P89" s="2"/>
      <c r="Q89" s="2"/>
    </row>
    <row r="90" spans="1:17" x14ac:dyDescent="0.25">
      <c r="A90" s="2"/>
      <c r="B90" s="2"/>
      <c r="C90" s="2" t="s">
        <v>105</v>
      </c>
      <c r="D90" s="2"/>
      <c r="E90" s="2"/>
      <c r="F90" s="43">
        <f>D84*F89</f>
        <v>19461936</v>
      </c>
      <c r="G90" s="2" t="s">
        <v>326</v>
      </c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1:1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spans="1:17" x14ac:dyDescent="0.25">
      <c r="A92" s="2"/>
      <c r="B92" s="2"/>
      <c r="C92" s="2"/>
      <c r="D92" s="2"/>
      <c r="E92" s="2"/>
      <c r="F92" s="2" t="s">
        <v>342</v>
      </c>
      <c r="G92" s="48">
        <v>1000000</v>
      </c>
      <c r="H92" s="2"/>
      <c r="I92" s="2"/>
      <c r="J92" s="2"/>
      <c r="K92" s="2"/>
      <c r="L92" s="2"/>
      <c r="M92" s="2"/>
      <c r="N92" s="2"/>
      <c r="O92" s="2" t="s">
        <v>346</v>
      </c>
      <c r="P92" s="2"/>
      <c r="Q92" s="2"/>
    </row>
    <row r="93" spans="1:17" x14ac:dyDescent="0.25">
      <c r="A93" s="2"/>
      <c r="B93" s="2"/>
      <c r="C93" s="2" t="s">
        <v>392</v>
      </c>
      <c r="D93" s="2"/>
      <c r="E93" s="2"/>
      <c r="F93" s="50" t="s">
        <v>343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spans="1:17" ht="23.25" x14ac:dyDescent="0.35">
      <c r="A94" s="2"/>
      <c r="B94" s="2"/>
      <c r="C94" s="57" t="s">
        <v>393</v>
      </c>
      <c r="D94" s="58">
        <f>D85*D86*D84*D79*D78</f>
        <v>41472</v>
      </c>
      <c r="E94" s="2"/>
      <c r="F94" s="2" t="s">
        <v>344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spans="1:1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spans="1:1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51" t="s">
        <v>358</v>
      </c>
      <c r="L96" s="50"/>
      <c r="M96" s="50"/>
      <c r="N96" s="50"/>
      <c r="O96" s="2"/>
      <c r="P96" s="2"/>
      <c r="Q96" s="2"/>
    </row>
    <row r="97" spans="1:1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spans="1:17" x14ac:dyDescent="0.25">
      <c r="A98" s="2"/>
      <c r="B98" s="2"/>
      <c r="C98" s="2"/>
      <c r="D98" s="2"/>
      <c r="E98" s="2"/>
      <c r="F98" s="2" t="s">
        <v>350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spans="1:17" x14ac:dyDescent="0.25">
      <c r="A99" s="2"/>
      <c r="B99" s="2"/>
      <c r="C99" s="2"/>
      <c r="D99" s="2"/>
      <c r="E99" s="2"/>
      <c r="F99" s="2" t="s">
        <v>347</v>
      </c>
      <c r="G99" s="48">
        <v>4000000</v>
      </c>
      <c r="H99" s="2"/>
      <c r="I99" s="130" t="s">
        <v>351</v>
      </c>
      <c r="J99" s="130"/>
      <c r="K99" s="2"/>
      <c r="L99" s="2"/>
      <c r="M99" s="2"/>
      <c r="N99" s="2"/>
      <c r="O99" s="2"/>
      <c r="P99" s="2"/>
      <c r="Q99" s="2"/>
    </row>
    <row r="100" spans="1:17" x14ac:dyDescent="0.25">
      <c r="A100" s="2"/>
      <c r="B100" s="2"/>
      <c r="C100" s="2"/>
      <c r="D100" s="2"/>
      <c r="E100" s="2"/>
      <c r="F100" s="2" t="s">
        <v>348</v>
      </c>
      <c r="G100" s="48">
        <v>25000000</v>
      </c>
      <c r="H100" s="2"/>
      <c r="I100" s="130"/>
      <c r="J100" s="130"/>
      <c r="K100" s="2"/>
      <c r="L100" s="2"/>
      <c r="M100" s="2"/>
      <c r="N100" s="2"/>
      <c r="O100" s="2"/>
      <c r="P100" s="2"/>
      <c r="Q100" s="2"/>
    </row>
    <row r="101" spans="1:1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spans="1:1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spans="1:17" x14ac:dyDescent="0.25">
      <c r="A103" s="2"/>
      <c r="B103" s="126" t="s">
        <v>34</v>
      </c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2"/>
      <c r="O103" s="2"/>
      <c r="P103" s="2"/>
      <c r="Q103" s="2"/>
    </row>
    <row r="104" spans="1:1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spans="1:17" x14ac:dyDescent="0.25">
      <c r="A105" s="2"/>
      <c r="B105" s="2" t="s">
        <v>2</v>
      </c>
      <c r="C105" s="2" t="s">
        <v>329</v>
      </c>
      <c r="D105" s="2"/>
      <c r="E105" s="2"/>
      <c r="F105" s="2"/>
      <c r="G105" s="2"/>
      <c r="H105" s="125" t="s">
        <v>405</v>
      </c>
      <c r="I105" s="125"/>
      <c r="J105" s="125"/>
      <c r="K105" s="124" t="s">
        <v>406</v>
      </c>
      <c r="L105" s="124"/>
      <c r="M105" s="2"/>
      <c r="N105" s="2"/>
      <c r="O105" s="2"/>
      <c r="P105" s="2"/>
      <c r="Q105" s="2"/>
    </row>
    <row r="106" spans="1:17" x14ac:dyDescent="0.25">
      <c r="A106" s="2"/>
      <c r="B106" s="2" t="s">
        <v>403</v>
      </c>
      <c r="C106" s="2">
        <v>145</v>
      </c>
      <c r="D106" s="2"/>
      <c r="E106" s="2"/>
      <c r="F106" s="2"/>
      <c r="G106" s="2"/>
      <c r="H106" s="64" t="s">
        <v>409</v>
      </c>
      <c r="I106" s="64" t="s">
        <v>410</v>
      </c>
      <c r="J106" s="64" t="s">
        <v>411</v>
      </c>
      <c r="K106" s="65" t="s">
        <v>409</v>
      </c>
      <c r="L106" s="65" t="s">
        <v>410</v>
      </c>
      <c r="M106" s="2"/>
      <c r="N106" s="2"/>
      <c r="O106" s="2"/>
      <c r="P106" s="2"/>
      <c r="Q106" s="2"/>
    </row>
    <row r="107" spans="1:17" x14ac:dyDescent="0.25">
      <c r="A107" s="2"/>
      <c r="B107" s="2" t="s">
        <v>38</v>
      </c>
      <c r="C107" s="2">
        <v>130</v>
      </c>
      <c r="D107" s="2"/>
      <c r="E107" s="2"/>
      <c r="F107" s="2"/>
      <c r="G107" s="2"/>
      <c r="H107" s="41">
        <f>+C107/C57</f>
        <v>3.2828282828282829</v>
      </c>
      <c r="I107" s="66">
        <v>3</v>
      </c>
      <c r="J107">
        <f>+I107*C57</f>
        <v>118.80000000000001</v>
      </c>
      <c r="K107" s="2">
        <f>+C106/C56</f>
        <v>3.0020703933747415</v>
      </c>
      <c r="L107" s="2">
        <f>+ROUNDDOWN(K107,0)</f>
        <v>3</v>
      </c>
      <c r="M107" s="2"/>
      <c r="N107" s="2"/>
      <c r="O107" s="2"/>
      <c r="P107" s="2"/>
      <c r="Q107" s="2"/>
    </row>
    <row r="108" spans="1:17" x14ac:dyDescent="0.25">
      <c r="A108" s="2"/>
      <c r="B108" s="2" t="s">
        <v>42</v>
      </c>
      <c r="C108" s="2">
        <v>64</v>
      </c>
      <c r="D108" s="2" t="s">
        <v>40</v>
      </c>
      <c r="E108" s="2"/>
      <c r="F108" s="2"/>
      <c r="G108" s="2"/>
      <c r="H108" s="125" t="s">
        <v>404</v>
      </c>
      <c r="I108" s="125"/>
      <c r="J108" s="125"/>
      <c r="K108" s="125"/>
      <c r="L108" s="125"/>
      <c r="M108" s="2"/>
      <c r="N108" s="2" t="s">
        <v>414</v>
      </c>
      <c r="O108" s="2"/>
      <c r="P108" s="2"/>
      <c r="Q108" s="2"/>
    </row>
    <row r="109" spans="1:17" x14ac:dyDescent="0.25">
      <c r="A109" s="2"/>
      <c r="B109" s="2" t="s">
        <v>335</v>
      </c>
      <c r="C109" s="2">
        <v>60</v>
      </c>
      <c r="D109" s="2"/>
      <c r="E109" s="2"/>
      <c r="F109" s="2"/>
      <c r="G109" s="2"/>
      <c r="H109" s="64" t="s">
        <v>413</v>
      </c>
      <c r="I109" s="64" t="s">
        <v>409</v>
      </c>
      <c r="J109" s="64" t="s">
        <v>410</v>
      </c>
      <c r="K109" s="125" t="s">
        <v>412</v>
      </c>
      <c r="L109" s="125"/>
      <c r="M109" s="2"/>
      <c r="N109" s="2"/>
      <c r="O109" s="2"/>
      <c r="P109" s="2"/>
      <c r="Q109" s="2"/>
    </row>
    <row r="110" spans="1:17" x14ac:dyDescent="0.25">
      <c r="A110" s="2"/>
      <c r="B110" s="2" t="s">
        <v>39</v>
      </c>
      <c r="C110" s="2">
        <v>3840</v>
      </c>
      <c r="D110" s="2" t="s">
        <v>40</v>
      </c>
      <c r="E110" s="2"/>
      <c r="F110" s="2"/>
      <c r="G110" s="2"/>
      <c r="H110" s="2">
        <f>+C110/(I107*C57)</f>
        <v>32.323232323232318</v>
      </c>
      <c r="I110" s="2">
        <f>+H110/C58</f>
        <v>3.4132241101618073</v>
      </c>
      <c r="J110" s="41">
        <f>+ROUNDDOWN(I110,0)</f>
        <v>3</v>
      </c>
      <c r="K110" s="128">
        <f>+J110*C58</f>
        <v>28.410000000000004</v>
      </c>
      <c r="L110" s="128"/>
      <c r="M110" s="2"/>
      <c r="N110" s="2"/>
      <c r="O110" s="2"/>
      <c r="P110" s="2"/>
      <c r="Q110" s="2"/>
    </row>
    <row r="111" spans="1:17" x14ac:dyDescent="0.25">
      <c r="A111" s="2"/>
      <c r="B111" s="2" t="s">
        <v>41</v>
      </c>
      <c r="C111" s="4">
        <v>0.98</v>
      </c>
      <c r="D111" s="2"/>
      <c r="E111" s="2"/>
      <c r="F111" s="2"/>
      <c r="G111" s="2"/>
      <c r="H111" s="125" t="s">
        <v>408</v>
      </c>
      <c r="I111" s="125"/>
      <c r="J111" s="125"/>
      <c r="K111" s="125" t="s">
        <v>415</v>
      </c>
      <c r="L111" s="125"/>
      <c r="M111" s="2"/>
      <c r="N111" s="2"/>
      <c r="O111" s="2"/>
      <c r="P111" s="2"/>
      <c r="Q111" s="2"/>
    </row>
    <row r="112" spans="1:17" x14ac:dyDescent="0.25">
      <c r="A112" s="2"/>
      <c r="B112" s="2" t="s">
        <v>328</v>
      </c>
      <c r="C112">
        <f>+ROUNDUP(D112,0)</f>
        <v>2</v>
      </c>
      <c r="D112" s="2">
        <f>+D53/K112</f>
        <v>1.3333333333333333</v>
      </c>
      <c r="E112" s="2"/>
      <c r="F112" s="2"/>
      <c r="G112" s="2"/>
      <c r="H112" s="128">
        <f>+J107*K110</f>
        <v>3375.1080000000006</v>
      </c>
      <c r="I112" s="128"/>
      <c r="J112" s="128"/>
      <c r="K112" s="128">
        <f>+J110*I107</f>
        <v>9</v>
      </c>
      <c r="L112" s="128"/>
      <c r="M112" s="2"/>
      <c r="N112" s="2"/>
      <c r="O112" s="2"/>
      <c r="P112" s="2"/>
      <c r="Q112" s="2"/>
    </row>
    <row r="113" spans="1:17" x14ac:dyDescent="0.25">
      <c r="A113" s="2"/>
      <c r="B113" s="2" t="s">
        <v>77</v>
      </c>
      <c r="C113" s="48">
        <v>2890000</v>
      </c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spans="1:1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spans="1:17" x14ac:dyDescent="0.25">
      <c r="A115" s="2"/>
      <c r="B115" s="62" t="s">
        <v>71</v>
      </c>
      <c r="C115" s="62"/>
      <c r="D115" s="62"/>
      <c r="E115" s="62" t="s">
        <v>70</v>
      </c>
      <c r="F115" s="62"/>
      <c r="G115" s="62"/>
      <c r="H115" s="62"/>
      <c r="I115" s="62"/>
      <c r="J115" s="62"/>
      <c r="K115" s="62"/>
      <c r="L115" s="62"/>
      <c r="M115" s="62"/>
      <c r="N115" s="2"/>
      <c r="O115" s="2"/>
      <c r="P115" s="2"/>
      <c r="Q115" s="2"/>
    </row>
    <row r="116" spans="1:17" x14ac:dyDescent="0.25">
      <c r="A116" s="2"/>
      <c r="B116" s="2"/>
      <c r="C116" s="2"/>
      <c r="E116" s="2"/>
      <c r="F116" s="2"/>
      <c r="G116" s="2"/>
      <c r="H116" s="2"/>
      <c r="I116" s="2"/>
      <c r="J116" s="2"/>
      <c r="K116" s="2"/>
      <c r="L116" s="2"/>
      <c r="N116" s="2"/>
      <c r="O116" s="2"/>
      <c r="P116" s="2"/>
      <c r="Q116" s="2"/>
    </row>
    <row r="117" spans="1:17" x14ac:dyDescent="0.25">
      <c r="A117" s="2"/>
      <c r="B117" s="2"/>
      <c r="C117" s="2"/>
      <c r="D117" s="2" t="s">
        <v>354</v>
      </c>
      <c r="E117" s="2"/>
      <c r="F117" s="2"/>
      <c r="G117" s="2"/>
      <c r="M117" s="2"/>
      <c r="N117" s="2"/>
      <c r="O117" s="2"/>
      <c r="P117" s="2"/>
      <c r="Q117" s="2"/>
    </row>
    <row r="118" spans="1:17" x14ac:dyDescent="0.25">
      <c r="A118" s="2"/>
      <c r="B118" s="2"/>
      <c r="C118" s="2"/>
      <c r="D118" s="2" t="s">
        <v>355</v>
      </c>
      <c r="E118" s="2"/>
      <c r="F118" s="43">
        <v>5000000</v>
      </c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spans="1:1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spans="1:17" x14ac:dyDescent="0.25">
      <c r="A120" s="2"/>
      <c r="B120" s="2"/>
      <c r="C120" s="2">
        <v>2</v>
      </c>
      <c r="D120" s="2" t="s">
        <v>356</v>
      </c>
      <c r="E120" s="2"/>
      <c r="F120" s="2">
        <v>2500000</v>
      </c>
      <c r="G120" s="43">
        <f>F120*C120</f>
        <v>5000000</v>
      </c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spans="1:17" x14ac:dyDescent="0.25">
      <c r="A121" s="2"/>
      <c r="B121" s="2"/>
      <c r="C121" s="2">
        <v>3</v>
      </c>
      <c r="D121" s="2" t="s">
        <v>357</v>
      </c>
      <c r="E121" s="2"/>
      <c r="F121" s="43">
        <v>4000000</v>
      </c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spans="1:1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spans="1:17" x14ac:dyDescent="0.25">
      <c r="A123" s="2"/>
      <c r="B123" s="2"/>
      <c r="C123" s="2" t="s">
        <v>359</v>
      </c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spans="1:1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 t="s">
        <v>353</v>
      </c>
      <c r="K124" s="2"/>
      <c r="L124" s="2"/>
      <c r="M124" s="2"/>
      <c r="N124" s="2"/>
      <c r="O124" s="2"/>
      <c r="P124" s="2"/>
      <c r="Q124" s="2"/>
    </row>
    <row r="125" spans="1:1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spans="1:1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spans="1:1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spans="1:1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spans="1:1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spans="1:1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spans="1:1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spans="1:1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1:1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spans="1:1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1:1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spans="1:1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spans="1:1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spans="1:1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1:1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spans="1:1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spans="1:1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1:1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x14ac:dyDescent="0.25">
      <c r="H146" s="2"/>
      <c r="I146" s="2"/>
      <c r="J146" s="2"/>
      <c r="K146" s="2"/>
      <c r="L146" s="2"/>
      <c r="M146" s="2"/>
    </row>
    <row r="147" spans="1:17" x14ac:dyDescent="0.25">
      <c r="H147" s="2"/>
      <c r="I147" s="2"/>
      <c r="J147" s="2"/>
      <c r="K147" s="2"/>
      <c r="L147" s="2"/>
    </row>
    <row r="4668" spans="4:4" x14ac:dyDescent="0.25">
      <c r="D4668">
        <v>1</v>
      </c>
    </row>
  </sheetData>
  <mergeCells count="24">
    <mergeCell ref="D83:F83"/>
    <mergeCell ref="H108:L108"/>
    <mergeCell ref="H111:J111"/>
    <mergeCell ref="H112:J112"/>
    <mergeCell ref="K111:L111"/>
    <mergeCell ref="K109:L109"/>
    <mergeCell ref="K110:L110"/>
    <mergeCell ref="K112:L112"/>
    <mergeCell ref="F62:G62"/>
    <mergeCell ref="K105:L105"/>
    <mergeCell ref="H105:J105"/>
    <mergeCell ref="B9:M9"/>
    <mergeCell ref="B34:M34"/>
    <mergeCell ref="E14:F14"/>
    <mergeCell ref="B74:M74"/>
    <mergeCell ref="B64:M64"/>
    <mergeCell ref="B103:M103"/>
    <mergeCell ref="F56:G56"/>
    <mergeCell ref="B13:M13"/>
    <mergeCell ref="B44:M44"/>
    <mergeCell ref="F51:G51"/>
    <mergeCell ref="J52:J53"/>
    <mergeCell ref="I99:J100"/>
    <mergeCell ref="I59:J60"/>
  </mergeCells>
  <conditionalFormatting sqref="F5">
    <cfRule type="expression" dxfId="4" priority="2">
      <formula>$B$7=1</formula>
    </cfRule>
  </conditionalFormatting>
  <conditionalFormatting sqref="G5">
    <cfRule type="expression" dxfId="3" priority="1">
      <formula>$B$7=1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Group Box 4">
              <controlPr defaultSize="0" autoFill="0" autoPict="0">
                <anchor moveWithCells="1">
                  <from>
                    <xdr:col>0</xdr:col>
                    <xdr:colOff>219075</xdr:colOff>
                    <xdr:row>2</xdr:row>
                    <xdr:rowOff>9525</xdr:rowOff>
                  </from>
                  <to>
                    <xdr:col>1</xdr:col>
                    <xdr:colOff>962025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0</xdr:col>
                    <xdr:colOff>390525</xdr:colOff>
                    <xdr:row>3</xdr:row>
                    <xdr:rowOff>9525</xdr:rowOff>
                  </from>
                  <to>
                    <xdr:col>1</xdr:col>
                    <xdr:colOff>733425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0</xdr:col>
                    <xdr:colOff>390525</xdr:colOff>
                    <xdr:row>4</xdr:row>
                    <xdr:rowOff>9525</xdr:rowOff>
                  </from>
                  <to>
                    <xdr:col>1</xdr:col>
                    <xdr:colOff>762000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 Box 36">
              <controlPr defaultSize="0" autoFill="0" autoLine="0" autoPict="0">
                <anchor moveWithCells="1">
                  <from>
                    <xdr:col>0</xdr:col>
                    <xdr:colOff>457200</xdr:colOff>
                    <xdr:row>5</xdr:row>
                    <xdr:rowOff>95250</xdr:rowOff>
                  </from>
                  <to>
                    <xdr:col>2</xdr:col>
                    <xdr:colOff>323850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8" name="Group Box 51">
              <controlPr defaultSize="0" autoFill="0" autoPict="0">
                <anchor moveWithCells="1">
                  <from>
                    <xdr:col>1</xdr:col>
                    <xdr:colOff>638175</xdr:colOff>
                    <xdr:row>44</xdr:row>
                    <xdr:rowOff>152400</xdr:rowOff>
                  </from>
                  <to>
                    <xdr:col>3</xdr:col>
                    <xdr:colOff>9525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9" name="Option Button 52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66675</xdr:rowOff>
                  </from>
                  <to>
                    <xdr:col>2</xdr:col>
                    <xdr:colOff>600075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0" name="Option Button 53">
              <controlPr defaultSize="0" autoFill="0" autoLine="0" autoPict="0">
                <anchor moveWithCells="1">
                  <from>
                    <xdr:col>2</xdr:col>
                    <xdr:colOff>933450</xdr:colOff>
                    <xdr:row>45</xdr:row>
                    <xdr:rowOff>66675</xdr:rowOff>
                  </from>
                  <to>
                    <xdr:col>2</xdr:col>
                    <xdr:colOff>1866900</xdr:colOff>
                    <xdr:row>46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Baterias!$A$2:$A$23</xm:f>
          </x14:formula1>
          <xm:sqref>D83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C2:U34"/>
  <sheetViews>
    <sheetView topLeftCell="A3" zoomScaleNormal="100" workbookViewId="0">
      <selection activeCell="F23" sqref="F23"/>
    </sheetView>
  </sheetViews>
  <sheetFormatPr baseColWidth="10" defaultColWidth="9.140625" defaultRowHeight="15" x14ac:dyDescent="0.25"/>
  <cols>
    <col min="4" max="4" width="21.85546875" customWidth="1"/>
    <col min="5" max="5" width="30" customWidth="1"/>
  </cols>
  <sheetData>
    <row r="2" spans="3:21" x14ac:dyDescent="0.25">
      <c r="N2" t="s">
        <v>467</v>
      </c>
    </row>
    <row r="4" spans="3:21" ht="21" x14ac:dyDescent="0.35">
      <c r="C4" s="131" t="s">
        <v>434</v>
      </c>
      <c r="D4" s="132"/>
      <c r="E4" s="132"/>
      <c r="F4" s="132"/>
      <c r="G4" s="132"/>
      <c r="H4" s="133"/>
    </row>
    <row r="5" spans="3:21" x14ac:dyDescent="0.25">
      <c r="C5" s="77"/>
      <c r="D5" s="70"/>
      <c r="E5" s="70"/>
      <c r="F5" s="70"/>
      <c r="G5" s="70"/>
      <c r="H5" s="78"/>
    </row>
    <row r="6" spans="3:21" x14ac:dyDescent="0.25">
      <c r="C6" s="79"/>
      <c r="D6" s="134" t="s">
        <v>435</v>
      </c>
      <c r="E6" s="134"/>
      <c r="F6" s="134"/>
      <c r="H6" s="80"/>
    </row>
    <row r="7" spans="3:21" x14ac:dyDescent="0.25">
      <c r="C7" s="79"/>
      <c r="D7" t="s">
        <v>436</v>
      </c>
      <c r="E7" t="s">
        <v>437</v>
      </c>
      <c r="F7" t="s">
        <v>438</v>
      </c>
      <c r="H7" s="80"/>
    </row>
    <row r="8" spans="3:21" x14ac:dyDescent="0.25">
      <c r="C8" s="79"/>
      <c r="D8" t="s">
        <v>439</v>
      </c>
      <c r="E8" s="81" t="s">
        <v>440</v>
      </c>
      <c r="F8">
        <v>50</v>
      </c>
      <c r="H8" s="80"/>
    </row>
    <row r="9" spans="3:21" ht="30" x14ac:dyDescent="0.25">
      <c r="C9" s="79"/>
      <c r="D9" t="s">
        <v>441</v>
      </c>
      <c r="E9" s="81" t="s">
        <v>442</v>
      </c>
      <c r="F9">
        <v>9000</v>
      </c>
      <c r="H9" s="80"/>
    </row>
    <row r="10" spans="3:21" x14ac:dyDescent="0.25">
      <c r="C10" s="79"/>
      <c r="D10" t="s">
        <v>443</v>
      </c>
      <c r="E10" s="81" t="s">
        <v>444</v>
      </c>
      <c r="F10">
        <v>1</v>
      </c>
      <c r="H10" s="80"/>
    </row>
    <row r="11" spans="3:21" ht="30" x14ac:dyDescent="0.25">
      <c r="C11" s="79"/>
      <c r="D11" s="82" t="s">
        <v>445</v>
      </c>
      <c r="E11" s="81" t="s">
        <v>446</v>
      </c>
      <c r="F11">
        <v>58</v>
      </c>
      <c r="H11" s="80"/>
    </row>
    <row r="12" spans="3:21" x14ac:dyDescent="0.25">
      <c r="C12" s="79"/>
      <c r="D12" s="82" t="s">
        <v>447</v>
      </c>
      <c r="E12" s="81" t="s">
        <v>448</v>
      </c>
      <c r="F12">
        <v>0.08</v>
      </c>
      <c r="H12" s="80"/>
    </row>
    <row r="13" spans="3:21" ht="30" x14ac:dyDescent="0.25">
      <c r="C13" s="79"/>
      <c r="D13" s="82" t="s">
        <v>449</v>
      </c>
      <c r="E13" s="81" t="s">
        <v>450</v>
      </c>
      <c r="F13">
        <v>1</v>
      </c>
      <c r="H13" s="80"/>
    </row>
    <row r="14" spans="3:21" x14ac:dyDescent="0.25">
      <c r="C14" s="79"/>
      <c r="D14" s="82" t="s">
        <v>451</v>
      </c>
      <c r="E14" s="81" t="s">
        <v>55</v>
      </c>
      <c r="F14">
        <v>120</v>
      </c>
      <c r="H14" s="80"/>
    </row>
    <row r="15" spans="3:21" ht="30" x14ac:dyDescent="0.25">
      <c r="C15" s="79"/>
      <c r="D15" s="82" t="s">
        <v>452</v>
      </c>
      <c r="E15" s="81" t="s">
        <v>453</v>
      </c>
      <c r="F15" s="83">
        <v>2.5000000000000001E-2</v>
      </c>
      <c r="H15" s="80"/>
      <c r="U15">
        <v>31</v>
      </c>
    </row>
    <row r="16" spans="3:21" x14ac:dyDescent="0.25">
      <c r="C16" s="79"/>
      <c r="H16" s="80"/>
      <c r="U16">
        <f>4*U15/PI()</f>
        <v>39.470425886790046</v>
      </c>
    </row>
    <row r="17" spans="3:21" x14ac:dyDescent="0.25">
      <c r="C17" s="79"/>
      <c r="H17" s="80"/>
      <c r="U17">
        <f>+SQRT(U16)</f>
        <v>6.2825493143142177</v>
      </c>
    </row>
    <row r="18" spans="3:21" x14ac:dyDescent="0.25">
      <c r="C18" s="79"/>
      <c r="H18" s="80"/>
    </row>
    <row r="19" spans="3:21" x14ac:dyDescent="0.25">
      <c r="C19" s="79"/>
      <c r="H19" s="80"/>
    </row>
    <row r="20" spans="3:21" x14ac:dyDescent="0.25">
      <c r="C20" s="79"/>
      <c r="H20" s="80"/>
    </row>
    <row r="21" spans="3:21" x14ac:dyDescent="0.25">
      <c r="C21" s="79"/>
      <c r="H21" s="80"/>
    </row>
    <row r="22" spans="3:21" x14ac:dyDescent="0.25">
      <c r="C22" s="79"/>
      <c r="D22" s="135" t="s">
        <v>454</v>
      </c>
      <c r="E22" s="135"/>
      <c r="F22" s="135"/>
      <c r="H22" s="80"/>
    </row>
    <row r="23" spans="3:21" ht="30" x14ac:dyDescent="0.25">
      <c r="C23" s="79"/>
      <c r="D23" t="s">
        <v>455</v>
      </c>
      <c r="E23" s="81" t="s">
        <v>456</v>
      </c>
      <c r="F23">
        <f>+F9/F14</f>
        <v>75</v>
      </c>
      <c r="H23" s="80"/>
    </row>
    <row r="24" spans="3:21" x14ac:dyDescent="0.25">
      <c r="C24" s="79"/>
      <c r="D24" t="s">
        <v>457</v>
      </c>
      <c r="F24">
        <f>+SIN(ACOS(F10))</f>
        <v>0</v>
      </c>
      <c r="H24" s="80"/>
    </row>
    <row r="25" spans="3:21" ht="30" x14ac:dyDescent="0.25">
      <c r="C25" s="79"/>
      <c r="D25" s="82" t="s">
        <v>458</v>
      </c>
      <c r="E25" s="81" t="s">
        <v>459</v>
      </c>
      <c r="F25">
        <f>+F15*F14</f>
        <v>3</v>
      </c>
      <c r="H25" s="80"/>
    </row>
    <row r="26" spans="3:21" ht="42" x14ac:dyDescent="0.35">
      <c r="C26" s="79"/>
      <c r="D26" s="73" t="s">
        <v>460</v>
      </c>
      <c r="E26" s="84" t="s">
        <v>461</v>
      </c>
      <c r="F26" s="73">
        <f>+(2*F8*F23*F10)/(F11*(F25-(0.002*(F12/F13)*F8*F23*F24)))</f>
        <v>43.103448275862071</v>
      </c>
      <c r="H26" s="80"/>
    </row>
    <row r="27" spans="3:21" x14ac:dyDescent="0.25">
      <c r="C27" s="79"/>
      <c r="H27" s="80"/>
    </row>
    <row r="28" spans="3:21" ht="26.25" x14ac:dyDescent="0.4">
      <c r="C28" s="79"/>
      <c r="D28" s="85"/>
      <c r="E28" s="86"/>
      <c r="H28" s="80"/>
    </row>
    <row r="29" spans="3:21" x14ac:dyDescent="0.25">
      <c r="C29" s="87"/>
      <c r="D29" s="88"/>
      <c r="E29" s="88"/>
      <c r="F29" s="88"/>
      <c r="G29" s="88"/>
      <c r="H29" s="89"/>
    </row>
    <row r="33" spans="3:4" x14ac:dyDescent="0.25">
      <c r="C33" t="s">
        <v>468</v>
      </c>
      <c r="D33" t="s">
        <v>469</v>
      </c>
    </row>
    <row r="34" spans="3:4" x14ac:dyDescent="0.25">
      <c r="C34">
        <v>40</v>
      </c>
      <c r="D34" t="s">
        <v>470</v>
      </c>
    </row>
  </sheetData>
  <mergeCells count="3">
    <mergeCell ref="C4:H4"/>
    <mergeCell ref="D6:F6"/>
    <mergeCell ref="D22:F22"/>
  </mergeCells>
  <pageMargins left="0.7" right="0.7" top="0.75" bottom="0.75" header="0.3" footer="0.3"/>
  <pageSetup scale="56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T4701"/>
  <sheetViews>
    <sheetView tabSelected="1" zoomScale="70" zoomScaleNormal="70" workbookViewId="0"/>
  </sheetViews>
  <sheetFormatPr baseColWidth="10" defaultColWidth="9.140625" defaultRowHeight="15" x14ac:dyDescent="0.25"/>
  <cols>
    <col min="2" max="2" width="27.140625" bestFit="1" customWidth="1"/>
    <col min="3" max="3" width="41.85546875" customWidth="1"/>
    <col min="4" max="4" width="5.7109375" bestFit="1" customWidth="1"/>
    <col min="5" max="5" width="28.28515625" customWidth="1"/>
    <col min="6" max="6" width="20.42578125" customWidth="1"/>
    <col min="7" max="7" width="45.5703125" customWidth="1"/>
    <col min="8" max="8" width="24.7109375" customWidth="1"/>
    <col min="9" max="9" width="24.85546875" bestFit="1" customWidth="1"/>
    <col min="10" max="10" width="23.140625" bestFit="1" customWidth="1"/>
    <col min="11" max="11" width="19.7109375" customWidth="1"/>
    <col min="12" max="12" width="19.28515625" customWidth="1"/>
    <col min="14" max="14" width="10.7109375" bestFit="1" customWidth="1"/>
    <col min="16" max="16" width="13.5703125" bestFit="1" customWidth="1"/>
    <col min="17" max="17" width="11.5703125" customWidth="1"/>
    <col min="18" max="18" width="2" bestFit="1" customWidth="1"/>
    <col min="19" max="22" width="2" style="2" bestFit="1" customWidth="1"/>
    <col min="23" max="23" width="6" style="2" bestFit="1" customWidth="1"/>
    <col min="24" max="38" width="2" style="2" bestFit="1" customWidth="1"/>
    <col min="39" max="46" width="9.140625" style="2"/>
  </cols>
  <sheetData>
    <row r="1" spans="1: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>
        <f>IF(P2="DC",1,0)</f>
        <v>0</v>
      </c>
      <c r="R2" s="2">
        <f>IF(Q2="DC",1,0)</f>
        <v>0</v>
      </c>
    </row>
    <row r="3" spans="1:1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ht="17.25" x14ac:dyDescent="0.25">
      <c r="A4" s="2"/>
      <c r="B4" s="2"/>
      <c r="C4" s="5" t="s">
        <v>21</v>
      </c>
      <c r="D4" s="5"/>
      <c r="E4" s="7">
        <v>12</v>
      </c>
      <c r="F4" s="2" t="str">
        <f>+IF(OR(E4=12,E4=24,E4=48),"DC",IF(OR(E4=110,E4=220),"AC","Ingrese valor estandar"))</f>
        <v>DC</v>
      </c>
      <c r="G4" s="5" t="str">
        <f>+IF(B7=2,"Irradiación promedio anual","Irradiación promedio mes minima anual")</f>
        <v>Irradiación promedio mes minima anual</v>
      </c>
      <c r="H4" s="7">
        <v>4.4000000000000004</v>
      </c>
      <c r="I4" s="2" t="s">
        <v>24</v>
      </c>
      <c r="J4" s="2" t="s">
        <v>602</v>
      </c>
      <c r="K4" s="2" t="s">
        <v>603</v>
      </c>
      <c r="L4" s="2"/>
      <c r="M4" s="2"/>
      <c r="N4" s="2"/>
      <c r="O4" s="2"/>
      <c r="P4" s="2"/>
      <c r="Q4" s="2"/>
      <c r="R4" s="2"/>
    </row>
    <row r="5" spans="1:18" x14ac:dyDescent="0.25">
      <c r="A5" s="2"/>
      <c r="B5" s="2"/>
      <c r="C5" s="5" t="s">
        <v>22</v>
      </c>
      <c r="D5" s="5"/>
      <c r="E5" s="8">
        <v>25</v>
      </c>
      <c r="F5" s="2" t="s">
        <v>23</v>
      </c>
      <c r="G5" s="10" t="s">
        <v>43</v>
      </c>
      <c r="H5" s="20">
        <v>1</v>
      </c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x14ac:dyDescent="0.25">
      <c r="A7" s="2"/>
      <c r="B7" s="9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x14ac:dyDescent="0.25">
      <c r="A8" s="2"/>
      <c r="B8" s="3" t="b">
        <v>1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25">
      <c r="A9" s="2"/>
      <c r="B9" s="126" t="s">
        <v>17</v>
      </c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2"/>
      <c r="P9" s="2"/>
      <c r="Q9" s="2"/>
      <c r="R9" s="2"/>
    </row>
    <row r="10" spans="1:1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x14ac:dyDescent="0.25">
      <c r="A11" s="2"/>
      <c r="B11" s="2"/>
      <c r="C11" s="2" t="s">
        <v>16</v>
      </c>
      <c r="D11" s="2"/>
      <c r="E11" s="6"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25">
      <c r="A13" t="s">
        <v>471</v>
      </c>
      <c r="B13" s="126" t="s">
        <v>15</v>
      </c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2"/>
      <c r="P13" s="2"/>
      <c r="Q13" s="2"/>
      <c r="R13" s="2"/>
    </row>
    <row r="14" spans="1:18" x14ac:dyDescent="0.25">
      <c r="A14" s="2"/>
      <c r="B14" s="2"/>
      <c r="C14" s="18" t="s">
        <v>0</v>
      </c>
      <c r="D14" s="18"/>
      <c r="E14" s="18" t="s">
        <v>1</v>
      </c>
      <c r="F14" s="127" t="s">
        <v>2</v>
      </c>
      <c r="G14" s="127"/>
      <c r="H14" s="12" t="s">
        <v>3</v>
      </c>
      <c r="I14" s="12" t="s">
        <v>4</v>
      </c>
      <c r="J14" s="11" t="s">
        <v>19</v>
      </c>
      <c r="K14" s="11" t="s">
        <v>53</v>
      </c>
      <c r="L14" s="2" t="s">
        <v>287</v>
      </c>
      <c r="M14" s="2" t="s">
        <v>362</v>
      </c>
      <c r="N14" s="2" t="s">
        <v>495</v>
      </c>
      <c r="O14" s="2" t="s">
        <v>499</v>
      </c>
      <c r="P14" s="2" t="s">
        <v>597</v>
      </c>
      <c r="Q14" s="2" t="s">
        <v>598</v>
      </c>
      <c r="R14" s="2"/>
    </row>
    <row r="15" spans="1:18" x14ac:dyDescent="0.25">
      <c r="A15" s="2"/>
      <c r="B15" s="2"/>
      <c r="C15" s="2">
        <v>2</v>
      </c>
      <c r="D15" s="2"/>
      <c r="E15" s="23">
        <v>1</v>
      </c>
      <c r="F15" s="23" t="s">
        <v>595</v>
      </c>
      <c r="G15" s="23"/>
      <c r="H15" s="109">
        <v>3</v>
      </c>
      <c r="I15" s="2">
        <f t="shared" ref="I15" si="0">H15*E15</f>
        <v>3</v>
      </c>
      <c r="J15" s="6">
        <v>24</v>
      </c>
      <c r="K15" s="102">
        <f t="shared" ref="K15" si="1">J15*I15*365</f>
        <v>26280</v>
      </c>
      <c r="L15" s="40">
        <f t="shared" ref="L15" si="2">K15/365</f>
        <v>72</v>
      </c>
      <c r="M15" s="2">
        <v>0</v>
      </c>
      <c r="N15" s="2">
        <v>0.3</v>
      </c>
      <c r="O15" s="2" t="s">
        <v>500</v>
      </c>
      <c r="P15" s="2">
        <f t="shared" ref="P15" si="3">IF(O15="DC",I15,0)</f>
        <v>3</v>
      </c>
      <c r="Q15" s="2">
        <f t="shared" ref="Q15" si="4">IF(O15="AC",I15,0)</f>
        <v>0</v>
      </c>
      <c r="R15" s="2"/>
    </row>
    <row r="16" spans="1:18" x14ac:dyDescent="0.25">
      <c r="A16" s="2"/>
      <c r="B16" s="2"/>
      <c r="C16" s="2"/>
      <c r="D16" s="2"/>
      <c r="E16" s="2"/>
      <c r="F16" s="2"/>
      <c r="G16" s="2"/>
      <c r="H16" s="99">
        <f>SUM(H15:H15)</f>
        <v>3</v>
      </c>
      <c r="I16" s="2">
        <f>SUM(I15:I15)</f>
        <v>3</v>
      </c>
      <c r="J16" s="1" t="s">
        <v>18</v>
      </c>
      <c r="K16" s="1">
        <f>SUM(K15:K15)/1000</f>
        <v>26.28</v>
      </c>
      <c r="L16" s="110">
        <f>SUM(L15:L15)</f>
        <v>72</v>
      </c>
      <c r="M16" s="2"/>
      <c r="N16" s="2"/>
      <c r="O16" s="2"/>
      <c r="P16" s="2"/>
      <c r="Q16" s="2"/>
      <c r="R16" s="2"/>
    </row>
    <row r="17" spans="1:1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43"/>
      <c r="L17" s="43"/>
      <c r="M17" s="2"/>
      <c r="N17" s="2" t="s">
        <v>557</v>
      </c>
      <c r="O17" s="2">
        <v>2</v>
      </c>
      <c r="P17" s="2">
        <f>SUM(P15:P15)</f>
        <v>3</v>
      </c>
      <c r="Q17" s="2">
        <f>SUM(Q15:Q15)</f>
        <v>0</v>
      </c>
      <c r="R17" s="2"/>
    </row>
    <row r="18" spans="1:1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>
        <f>L16/24</f>
        <v>3</v>
      </c>
      <c r="M18" s="2"/>
      <c r="N18" s="2"/>
      <c r="O18" s="2"/>
      <c r="P18" s="2"/>
      <c r="Q18" s="2"/>
      <c r="R18" s="2"/>
    </row>
    <row r="19" spans="1:18" x14ac:dyDescent="0.25">
      <c r="B19" s="2"/>
      <c r="C19" s="2"/>
      <c r="D19" s="2"/>
      <c r="E19" s="2"/>
      <c r="F19" s="2"/>
      <c r="G19" s="2"/>
      <c r="H19" s="2"/>
      <c r="I19" s="2"/>
      <c r="J19" s="2"/>
      <c r="K19" s="44"/>
      <c r="L19" s="2"/>
      <c r="M19" s="2"/>
      <c r="N19" s="2"/>
      <c r="O19" s="2"/>
      <c r="P19" s="2"/>
      <c r="Q19" s="2"/>
      <c r="R19" s="2"/>
    </row>
    <row r="20" spans="1:18" x14ac:dyDescent="0.25">
      <c r="A20" s="2"/>
      <c r="B20" s="2"/>
      <c r="C20" s="2"/>
      <c r="D20" s="2"/>
      <c r="E20" s="2"/>
      <c r="F20" s="2"/>
      <c r="G20" s="17" t="s">
        <v>31</v>
      </c>
      <c r="H20" s="16">
        <f>E11+K16</f>
        <v>26.28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26.25" x14ac:dyDescent="0.4">
      <c r="A22" s="2"/>
      <c r="B22" s="2"/>
      <c r="C22" s="2"/>
      <c r="D22" s="2"/>
      <c r="E22" s="2"/>
      <c r="F22" s="2"/>
      <c r="G22" s="59" t="s">
        <v>604</v>
      </c>
      <c r="H22" s="60">
        <f>L16</f>
        <v>72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23.25" x14ac:dyDescent="0.35">
      <c r="A23" s="2"/>
      <c r="B23" s="2"/>
      <c r="C23" s="2"/>
      <c r="D23" s="2"/>
      <c r="E23" s="2"/>
      <c r="F23" s="2"/>
      <c r="G23" s="57" t="s">
        <v>605</v>
      </c>
      <c r="H23" s="115">
        <f>L18</f>
        <v>3</v>
      </c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x14ac:dyDescent="0.25">
      <c r="A24" s="2"/>
      <c r="B24" s="2"/>
      <c r="C24" s="2"/>
      <c r="D24" s="2"/>
      <c r="E24" s="2"/>
      <c r="F24" s="2"/>
      <c r="G24" s="5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25">
      <c r="B25" s="126" t="s">
        <v>20</v>
      </c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2"/>
      <c r="P25" s="2"/>
      <c r="Q25" s="2"/>
      <c r="R25" s="2"/>
    </row>
    <row r="26" spans="1:1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25">
      <c r="A27" s="2"/>
      <c r="B27" s="2"/>
      <c r="C27" s="2" t="s">
        <v>25</v>
      </c>
      <c r="D27" s="2"/>
      <c r="E27" s="13">
        <v>0.95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25">
      <c r="A28" s="2"/>
      <c r="B28" s="2"/>
      <c r="C28" s="2" t="s">
        <v>327</v>
      </c>
      <c r="D28" s="2"/>
      <c r="E28" s="106">
        <f>IF(C122=0,0.95,C122)</f>
        <v>0.7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x14ac:dyDescent="0.25">
      <c r="A29" s="2"/>
      <c r="B29" s="2"/>
      <c r="C29" s="2" t="s">
        <v>26</v>
      </c>
      <c r="D29" s="2"/>
      <c r="E29" s="13">
        <v>0.99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x14ac:dyDescent="0.25">
      <c r="A30" s="2"/>
      <c r="B30" s="2"/>
      <c r="C30" s="2" t="s">
        <v>27</v>
      </c>
      <c r="D30" s="2"/>
      <c r="E30" s="9">
        <f>IF(O17=1,1,C79)</f>
        <v>0.95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14"/>
    </row>
    <row r="31" spans="1:18" x14ac:dyDescent="0.25">
      <c r="A31" s="2"/>
      <c r="B31" s="2"/>
      <c r="C31" s="2" t="s">
        <v>28</v>
      </c>
      <c r="D31" s="2"/>
      <c r="E31" s="13">
        <v>0.95</v>
      </c>
      <c r="F31" s="47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14"/>
    </row>
    <row r="32" spans="1:18" x14ac:dyDescent="0.25">
      <c r="A32" s="2"/>
      <c r="B32" s="2"/>
      <c r="C32" s="2" t="s">
        <v>29</v>
      </c>
      <c r="D32" s="2"/>
      <c r="E32" s="2">
        <f>PRODUCT(E27:E31)</f>
        <v>0.59416087499999981</v>
      </c>
      <c r="F32" s="100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39" x14ac:dyDescent="0.25">
      <c r="A33" s="2"/>
      <c r="B33" s="2"/>
      <c r="C33" s="2" t="s">
        <v>428</v>
      </c>
      <c r="D33" s="2"/>
      <c r="E33" s="71">
        <v>0.05</v>
      </c>
      <c r="F33" s="47">
        <f>1-E33</f>
        <v>0.95</v>
      </c>
      <c r="G33" s="2">
        <f>ROUNDUP(H22/(H4*E32*C45),0)</f>
        <v>3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3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1:39" x14ac:dyDescent="0.25">
      <c r="B35" s="126" t="s">
        <v>5</v>
      </c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2"/>
      <c r="P35" s="2"/>
      <c r="Q35" s="2"/>
      <c r="R35" s="2"/>
    </row>
    <row r="36" spans="1:39" x14ac:dyDescent="0.25">
      <c r="A36" s="2"/>
      <c r="B36" s="2"/>
      <c r="C36" s="2"/>
      <c r="D36" s="2"/>
      <c r="E36" s="2"/>
      <c r="F36" s="3" t="str">
        <f>+IF(B7=1,"controlador","Inversor")</f>
        <v>controlador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1:39" x14ac:dyDescent="0.25">
      <c r="A37" s="2"/>
      <c r="B37" s="2"/>
      <c r="C37" s="2"/>
      <c r="D37" s="2"/>
      <c r="E37" s="47">
        <v>2</v>
      </c>
      <c r="F37" s="2"/>
      <c r="G37" s="24"/>
      <c r="H37" s="24"/>
      <c r="I37" s="24"/>
      <c r="J37" s="24"/>
      <c r="K37" s="24"/>
      <c r="L37" s="24" t="s">
        <v>52</v>
      </c>
      <c r="M37" s="26" t="s">
        <v>44</v>
      </c>
      <c r="N37" s="24"/>
      <c r="O37" s="2"/>
      <c r="P37" s="2"/>
      <c r="Q37" s="2"/>
      <c r="R37" s="2"/>
    </row>
    <row r="38" spans="1:39" x14ac:dyDescent="0.25">
      <c r="A38" s="2"/>
      <c r="B38" s="2"/>
      <c r="C38" s="2"/>
      <c r="D38" s="2"/>
      <c r="E38" s="2"/>
      <c r="G38" s="24"/>
      <c r="H38" s="24" t="s">
        <v>51</v>
      </c>
      <c r="I38" s="24"/>
      <c r="J38" s="24"/>
      <c r="K38" s="24">
        <v>65</v>
      </c>
      <c r="L38" s="25">
        <f>IF(B7=1,C118/C47,C78/C47)</f>
        <v>2.1186440677966099</v>
      </c>
      <c r="M38" s="25">
        <f>+ROUNDDOWN(L38,0)</f>
        <v>2</v>
      </c>
      <c r="N38" s="24"/>
      <c r="O38" s="2"/>
      <c r="P38" s="2"/>
      <c r="Q38" s="2"/>
      <c r="R38" s="2"/>
    </row>
    <row r="39" spans="1:39" x14ac:dyDescent="0.25">
      <c r="A39" s="2"/>
      <c r="B39" s="2"/>
      <c r="C39" s="2"/>
      <c r="D39" s="2"/>
      <c r="E39" s="18" t="str">
        <f>+IF(E37=1,"Sistema [kWp]:","Sistema [Wp]:")</f>
        <v>Sistema [Wp]:</v>
      </c>
      <c r="F39" s="2"/>
      <c r="G39" s="24">
        <f>+_xlfn.FLOOR.MATH(M38,E44)</f>
        <v>0</v>
      </c>
      <c r="H39" s="24" t="s">
        <v>50</v>
      </c>
      <c r="I39" s="24"/>
      <c r="J39" s="24"/>
      <c r="K39" s="24">
        <f>C119/C47</f>
        <v>4.2372881355932202E-2</v>
      </c>
      <c r="L39" s="24">
        <f>ROUNDUP(K39,0)</f>
        <v>1</v>
      </c>
      <c r="M39" s="24"/>
      <c r="N39" s="24"/>
      <c r="O39" s="2"/>
      <c r="P39" s="2"/>
      <c r="Q39" s="22"/>
      <c r="R39" s="2"/>
      <c r="S39" s="22"/>
      <c r="U39" s="22"/>
      <c r="W39" s="22"/>
      <c r="Y39" s="22"/>
      <c r="AA39" s="22"/>
      <c r="AC39" s="22"/>
      <c r="AE39" s="22"/>
      <c r="AG39" s="22"/>
      <c r="AI39" s="22"/>
      <c r="AK39" s="22"/>
      <c r="AM39" s="22"/>
    </row>
    <row r="40" spans="1:39" x14ac:dyDescent="0.25">
      <c r="A40" s="2"/>
      <c r="B40" s="2"/>
      <c r="C40" s="2"/>
      <c r="D40" s="2"/>
      <c r="E40" s="18" t="s">
        <v>36</v>
      </c>
      <c r="F40" s="35">
        <f>IF(E37=1,H22/(H4*1000*E32*F33),H22*1000/(H4*1000*E32*F33))</f>
        <v>28.990263592794001</v>
      </c>
      <c r="G40" s="24"/>
      <c r="H40" s="24"/>
      <c r="I40" s="24"/>
      <c r="J40" s="24"/>
      <c r="K40" s="24"/>
      <c r="L40" s="24"/>
      <c r="M40" s="24"/>
      <c r="N40" s="24"/>
      <c r="O40" s="2"/>
      <c r="P40" s="2"/>
      <c r="Q40" s="2"/>
      <c r="R40" s="2"/>
    </row>
    <row r="41" spans="1:39" x14ac:dyDescent="0.25">
      <c r="A41" s="2"/>
      <c r="B41" s="2"/>
      <c r="C41" s="2"/>
      <c r="D41" s="2"/>
      <c r="E41" s="18" t="s">
        <v>37</v>
      </c>
      <c r="F41" s="19">
        <f>F40*1.2</f>
        <v>34.788316311352801</v>
      </c>
      <c r="G41" s="9"/>
      <c r="H41" s="9"/>
      <c r="I41" s="9"/>
      <c r="J41" s="9"/>
      <c r="K41" s="9"/>
      <c r="L41" s="9"/>
      <c r="M41" s="9"/>
      <c r="N41" s="9"/>
      <c r="O41" s="2"/>
      <c r="P41" s="2"/>
      <c r="Q41" s="2"/>
      <c r="R41" s="2"/>
    </row>
    <row r="42" spans="1:39" x14ac:dyDescent="0.25">
      <c r="A42" s="2"/>
      <c r="B42" s="2"/>
      <c r="C42" s="2"/>
      <c r="D42" s="2"/>
      <c r="E42" s="2"/>
      <c r="F42" s="63"/>
      <c r="G42" s="128" t="s">
        <v>12</v>
      </c>
      <c r="H42" s="128"/>
      <c r="I42" s="2"/>
      <c r="J42" s="2" t="s">
        <v>600</v>
      </c>
      <c r="K42" s="2">
        <v>0.05</v>
      </c>
      <c r="L42" s="2"/>
      <c r="M42" s="2"/>
      <c r="N42" s="2"/>
      <c r="O42" s="2"/>
      <c r="P42" s="2"/>
      <c r="Q42" s="2"/>
      <c r="R42" s="2"/>
    </row>
    <row r="43" spans="1:39" x14ac:dyDescent="0.25">
      <c r="A43" s="2"/>
      <c r="B43" s="2" t="s">
        <v>2</v>
      </c>
      <c r="C43" t="s">
        <v>610</v>
      </c>
      <c r="E43" s="2" t="s">
        <v>46</v>
      </c>
      <c r="F43" s="2"/>
      <c r="G43" s="2" t="s">
        <v>10</v>
      </c>
      <c r="H43">
        <f>IF(I44&gt;=L39,I44,L39)</f>
        <v>2</v>
      </c>
      <c r="I43" s="23" cm="1">
        <f t="array" ref="I43">nose(F44,M38)</f>
        <v>2</v>
      </c>
      <c r="K43" s="129" t="str">
        <f>+VLOOKUP(C43,Paneles!A2:N50,3,0)</f>
        <v>Policristalino</v>
      </c>
      <c r="L43" s="2"/>
      <c r="M43" s="2"/>
      <c r="N43" s="2"/>
      <c r="O43" s="2"/>
      <c r="P43" s="2"/>
      <c r="Q43" s="2"/>
      <c r="R43" s="2"/>
    </row>
    <row r="44" spans="1:39" x14ac:dyDescent="0.25">
      <c r="A44" s="2"/>
      <c r="B44" s="2" t="s">
        <v>1</v>
      </c>
      <c r="C44" s="2">
        <f>IF(E37=2,F40/C45,F40*1000/C45)</f>
        <v>2.8990263592794001</v>
      </c>
      <c r="D44" s="2"/>
      <c r="E44" s="23">
        <f>IF((C44-ROUNDDOWN(C44,0))&gt;K42,ROUNDUP(C44,0),ROUNDDOWN(C44,0))</f>
        <v>3</v>
      </c>
      <c r="F44" s="9" cm="1">
        <f t="array" ref="F44">+IF(nose(E44,M38)=1,E44+1,E44)</f>
        <v>4</v>
      </c>
      <c r="G44" s="2" t="s">
        <v>11</v>
      </c>
      <c r="H44" s="2">
        <f>ROUNDUP(E44/I44,0)</f>
        <v>2</v>
      </c>
      <c r="I44" s="47">
        <f>+IF(E44&lt;=M38,E44, I43)</f>
        <v>2</v>
      </c>
      <c r="J44" s="2" t="s">
        <v>599</v>
      </c>
      <c r="K44" s="129"/>
      <c r="L44" s="2"/>
      <c r="M44" s="2"/>
      <c r="N44" s="2"/>
      <c r="O44" s="2"/>
      <c r="P44" s="2"/>
      <c r="Q44" s="2"/>
      <c r="R44" s="2"/>
    </row>
    <row r="45" spans="1:39" ht="15.75" x14ac:dyDescent="0.25">
      <c r="A45" s="2"/>
      <c r="B45" s="2" t="s">
        <v>6</v>
      </c>
      <c r="C45" s="74">
        <f>VLOOKUP('Cálculo sistema (2)'!C43,Paneles!A2:O29,2,0)</f>
        <v>10</v>
      </c>
      <c r="D45" s="74"/>
      <c r="E45" s="2">
        <f>+C45*E44</f>
        <v>30</v>
      </c>
      <c r="F45" s="2"/>
      <c r="G45" s="27" t="s">
        <v>14</v>
      </c>
      <c r="H45" s="27">
        <f>H43*H44</f>
        <v>4</v>
      </c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39" x14ac:dyDescent="0.25">
      <c r="A46" s="2"/>
      <c r="B46" s="2" t="s">
        <v>9</v>
      </c>
      <c r="C46" s="72">
        <v>0.20169999999999999</v>
      </c>
      <c r="D46" s="72"/>
      <c r="E46" s="2">
        <f>+C45*10</f>
        <v>100</v>
      </c>
      <c r="F46" s="2">
        <f>19*C45</f>
        <v>190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1:39" x14ac:dyDescent="0.25">
      <c r="A47" s="2"/>
      <c r="B47" s="2" t="s">
        <v>361</v>
      </c>
      <c r="C47" s="2">
        <f>+VLOOKUP(C43,Paneles!A2:M31,7,0)</f>
        <v>47.2</v>
      </c>
      <c r="D47" s="2"/>
      <c r="E47" s="2">
        <f>2*C48</f>
        <v>78.8</v>
      </c>
      <c r="F47" s="2">
        <f>+E47*E48</f>
        <v>3652.3799999999992</v>
      </c>
      <c r="G47" s="128" t="s">
        <v>429</v>
      </c>
      <c r="H47" s="128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1:39" x14ac:dyDescent="0.25">
      <c r="A48" s="2"/>
      <c r="B48" s="2" t="s">
        <v>7</v>
      </c>
      <c r="C48" s="2">
        <f>+VLOOKUP(C43,Paneles!A2:M31,4,0)</f>
        <v>39.4</v>
      </c>
      <c r="D48" s="2"/>
      <c r="E48" s="2">
        <f>5*C49</f>
        <v>46.349999999999994</v>
      </c>
      <c r="F48" s="2"/>
      <c r="G48" s="63"/>
      <c r="H48" s="63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spans="1:18" x14ac:dyDescent="0.25">
      <c r="A49" s="2"/>
      <c r="B49" s="2" t="s">
        <v>427</v>
      </c>
      <c r="C49" s="2">
        <f>+VLOOKUP(C43,Paneles!A2:M31,5,0)</f>
        <v>9.27</v>
      </c>
      <c r="D49" s="2"/>
      <c r="E49" s="2"/>
      <c r="F49" s="2"/>
      <c r="G49" s="2" t="s">
        <v>30</v>
      </c>
      <c r="H49" s="2">
        <f>C47*I44</f>
        <v>94.4</v>
      </c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18" x14ac:dyDescent="0.25">
      <c r="A50" s="2"/>
      <c r="B50" s="2" t="s">
        <v>336</v>
      </c>
      <c r="C50" s="2" t="e">
        <f>+VLOOKUP(C43,Paneles!A2:M28,12,0)</f>
        <v>#N/A</v>
      </c>
      <c r="D50" s="2"/>
      <c r="E50" s="2" t="e">
        <f>C50*E44</f>
        <v>#N/A</v>
      </c>
      <c r="F50" s="2"/>
      <c r="G50" s="2" t="s">
        <v>7</v>
      </c>
      <c r="H50" s="2">
        <f>C48*I44</f>
        <v>78.8</v>
      </c>
      <c r="I50" s="2"/>
      <c r="J50" s="130"/>
      <c r="K50" s="130"/>
      <c r="L50" s="2"/>
      <c r="M50" s="2"/>
      <c r="N50" s="2"/>
      <c r="O50" s="2"/>
      <c r="P50" s="2"/>
      <c r="Q50" s="2"/>
      <c r="R50" s="2"/>
    </row>
    <row r="51" spans="1:18" x14ac:dyDescent="0.25">
      <c r="A51" s="2"/>
      <c r="B51" s="2" t="s">
        <v>297</v>
      </c>
      <c r="C51" s="28">
        <f>+VLOOKUP(C43,Paneles!A2:M31,13,0)</f>
        <v>67000</v>
      </c>
      <c r="D51" s="28"/>
      <c r="E51" s="2"/>
      <c r="F51" s="2"/>
      <c r="G51" s="2" t="s">
        <v>74</v>
      </c>
      <c r="H51" s="2">
        <f>H44*C49</f>
        <v>18.54</v>
      </c>
      <c r="I51" s="2">
        <v>65</v>
      </c>
      <c r="J51" s="130"/>
      <c r="K51" s="130"/>
      <c r="L51" s="2"/>
      <c r="M51" s="2"/>
      <c r="N51" s="2"/>
      <c r="O51" s="2"/>
      <c r="P51" s="2"/>
      <c r="Q51" s="2"/>
      <c r="R51" s="2"/>
    </row>
    <row r="52" spans="1:18" x14ac:dyDescent="0.25">
      <c r="A52" s="2"/>
      <c r="B52" s="2"/>
      <c r="C52" s="44">
        <f>C51*H45</f>
        <v>268000</v>
      </c>
      <c r="D52" s="44"/>
      <c r="E52" s="2"/>
      <c r="F52" s="2"/>
      <c r="G52" s="2" t="s">
        <v>13</v>
      </c>
      <c r="H52" s="2">
        <f>C45*H45</f>
        <v>40</v>
      </c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18" ht="23.25" x14ac:dyDescent="0.35">
      <c r="A53" s="2"/>
      <c r="B53" s="2"/>
      <c r="C53" s="2"/>
      <c r="D53" s="2"/>
      <c r="E53" s="2"/>
      <c r="F53" s="2"/>
      <c r="G53" s="123" t="s">
        <v>394</v>
      </c>
      <c r="H53" s="123"/>
      <c r="I53" s="58">
        <f>+E45*H4*E32</f>
        <v>78.429235499999976</v>
      </c>
      <c r="J53" s="2"/>
      <c r="K53" s="2"/>
      <c r="L53" s="2"/>
      <c r="M53" s="2"/>
      <c r="N53" s="2"/>
      <c r="O53" s="2"/>
      <c r="P53" s="2"/>
      <c r="Q53" s="2"/>
      <c r="R53" s="2"/>
    </row>
    <row r="54" spans="1:18" ht="23.25" x14ac:dyDescent="0.35">
      <c r="A54" s="2"/>
      <c r="B54" s="2"/>
      <c r="C54" s="2"/>
      <c r="D54" s="2"/>
      <c r="E54" s="2"/>
      <c r="F54" s="2"/>
      <c r="G54" s="69"/>
      <c r="H54" s="69"/>
      <c r="I54" s="58"/>
      <c r="J54" s="2"/>
      <c r="K54" s="2"/>
      <c r="L54" s="2"/>
      <c r="M54" s="2"/>
      <c r="N54" s="2"/>
      <c r="O54" s="2"/>
      <c r="P54" s="2"/>
      <c r="Q54" s="2"/>
      <c r="R54" s="2"/>
    </row>
    <row r="55" spans="1:18" x14ac:dyDescent="0.25">
      <c r="A55" s="2"/>
      <c r="B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1:1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1:18" ht="21" x14ac:dyDescent="0.35">
      <c r="A57" s="2"/>
      <c r="B57" s="2"/>
      <c r="C57" s="93" t="str">
        <f>+_xlfn.CONCAT("A este arreglo de paneles se debe conectar un ", F36," con capacidad de ",H49," V y ",H51," A."," Debe tener una potencia nominal FV de mínimo ",E45," W @ ",E92," V")</f>
        <v>A este arreglo de paneles se debe conectar un controlador con capacidad de 94,4 V y 18,54 A. Debe tener una potencia nominal FV de mínimo 30 W @ 12 V</v>
      </c>
      <c r="D57" s="93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1:1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8" ht="21" x14ac:dyDescent="0.35">
      <c r="A59" s="2"/>
      <c r="B59" s="2"/>
      <c r="C59" s="137" t="s">
        <v>466</v>
      </c>
      <c r="D59" s="137"/>
      <c r="E59" s="137"/>
      <c r="F59" s="137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1:18" x14ac:dyDescent="0.25">
      <c r="A60" s="2"/>
      <c r="B60" s="138" t="s">
        <v>462</v>
      </c>
      <c r="C60" s="138"/>
      <c r="D60" s="114"/>
      <c r="E60" s="2"/>
      <c r="F60" s="139" t="s">
        <v>463</v>
      </c>
      <c r="G60" s="139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1:18" ht="30" x14ac:dyDescent="0.25">
      <c r="A61" s="2"/>
      <c r="B61" t="s">
        <v>586</v>
      </c>
      <c r="C61" t="str">
        <f>IF(I61=1,"EXTENSIONES","CABLE")</f>
        <v>CABLE</v>
      </c>
      <c r="E61" s="2"/>
      <c r="F61" s="92" t="s">
        <v>464</v>
      </c>
      <c r="G61" s="2" t="e">
        <f>+C65*H50</f>
        <v>#VALUE!</v>
      </c>
      <c r="H61" s="2"/>
      <c r="I61" s="3">
        <v>2</v>
      </c>
      <c r="J61" s="2"/>
      <c r="K61" s="2"/>
      <c r="L61" s="2"/>
      <c r="M61" s="2"/>
      <c r="N61" s="2"/>
      <c r="O61" s="2"/>
      <c r="P61" s="2"/>
      <c r="Q61" s="2"/>
      <c r="R61" s="2"/>
    </row>
    <row r="62" spans="1:18" ht="30" x14ac:dyDescent="0.25">
      <c r="A62" s="2"/>
      <c r="B62" t="s">
        <v>587</v>
      </c>
      <c r="C62" t="s">
        <v>567</v>
      </c>
      <c r="E62" s="2"/>
      <c r="F62" s="95" t="s">
        <v>465</v>
      </c>
      <c r="G62" s="2" t="e">
        <f>2*C63*I51/(G61*C64)</f>
        <v>#VALUE!</v>
      </c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1:18" x14ac:dyDescent="0.25">
      <c r="A63" s="2"/>
      <c r="B63" s="90" t="s">
        <v>440</v>
      </c>
      <c r="C63" s="2">
        <v>20</v>
      </c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1:18" x14ac:dyDescent="0.25">
      <c r="A64" s="2"/>
      <c r="B64" s="91" t="s">
        <v>588</v>
      </c>
      <c r="C64" s="2">
        <f>VLOOKUP(C62,'Cab&amp;Con'!A2:E20,5,0)</f>
        <v>45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1:18" x14ac:dyDescent="0.25">
      <c r="A65" s="2"/>
      <c r="B65" s="91" t="s">
        <v>589</v>
      </c>
      <c r="C65" s="94" t="str">
        <f>IF(C64&gt;H51,"SI","NO")</f>
        <v>SI</v>
      </c>
      <c r="D65" s="94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1:18" x14ac:dyDescent="0.25">
      <c r="A66" s="2"/>
      <c r="B66" s="2" t="s">
        <v>60</v>
      </c>
      <c r="C66" s="2">
        <f>ROUNDUP(C63/VLOOKUP(C62,'Cab&amp;Con'!A2:E20,2,0),0)</f>
        <v>20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1:1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1:1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1:1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1:1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1:1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1:1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1:1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1:1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1:18" x14ac:dyDescent="0.25">
      <c r="A75" s="2"/>
      <c r="B75" s="126" t="s">
        <v>33</v>
      </c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2"/>
      <c r="P75" s="2"/>
      <c r="Q75" s="2"/>
      <c r="R75" s="2"/>
    </row>
    <row r="76" spans="1:18" x14ac:dyDescent="0.25">
      <c r="A76" s="2"/>
      <c r="B76" s="2" t="s">
        <v>115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1:18" x14ac:dyDescent="0.25">
      <c r="A77" s="2"/>
      <c r="B77" s="2" t="s">
        <v>2</v>
      </c>
      <c r="C77" s="2"/>
      <c r="D77" s="2"/>
      <c r="E77" s="2"/>
      <c r="F77" s="2"/>
      <c r="G77" s="2"/>
      <c r="H77" s="2"/>
      <c r="I77" s="2">
        <f>150*30</f>
        <v>4500</v>
      </c>
      <c r="J77" s="2"/>
      <c r="K77" s="2"/>
      <c r="L77" s="2"/>
      <c r="M77" s="2"/>
      <c r="N77" s="2"/>
      <c r="O77" s="2"/>
      <c r="P77" s="2"/>
      <c r="Q77" s="2"/>
      <c r="R77" s="2"/>
    </row>
    <row r="78" spans="1:18" x14ac:dyDescent="0.25">
      <c r="A78" s="2"/>
      <c r="B78" s="2" t="s">
        <v>45</v>
      </c>
      <c r="C78" s="2">
        <v>130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1:18" x14ac:dyDescent="0.25">
      <c r="A79" s="2"/>
      <c r="B79" s="2" t="s">
        <v>41</v>
      </c>
      <c r="C79" s="2">
        <v>0.95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1:18" x14ac:dyDescent="0.25">
      <c r="A80" s="2"/>
      <c r="B80" s="2" t="s">
        <v>504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1:18" x14ac:dyDescent="0.25">
      <c r="A81" s="2"/>
      <c r="B81" s="2"/>
      <c r="C81" s="2"/>
      <c r="D81" s="2"/>
      <c r="E81" s="2"/>
      <c r="F81" s="2"/>
      <c r="G81" s="2">
        <v>1750</v>
      </c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1:18" x14ac:dyDescent="0.25">
      <c r="A82" s="2"/>
      <c r="B82" s="2"/>
      <c r="C82" s="2"/>
      <c r="D82" s="2"/>
      <c r="E82" s="2"/>
      <c r="F82" s="2"/>
      <c r="G82" s="2">
        <f>+G81/120</f>
        <v>14.583333333333334</v>
      </c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1:1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1:1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1:18" x14ac:dyDescent="0.25">
      <c r="A85" s="2"/>
      <c r="B85" s="126" t="s">
        <v>32</v>
      </c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2"/>
      <c r="P85" s="2"/>
      <c r="Q85" s="2"/>
      <c r="R85" s="2"/>
    </row>
    <row r="86" spans="1:1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1:18" x14ac:dyDescent="0.25">
      <c r="A87" s="2"/>
      <c r="B87" s="2"/>
      <c r="C87" s="2" t="s">
        <v>66</v>
      </c>
      <c r="D87" s="2"/>
      <c r="E87" s="2">
        <f>(H20*1000)/(E4*365)</f>
        <v>6</v>
      </c>
      <c r="F87" s="2">
        <f>L16*1000/E4</f>
        <v>6000</v>
      </c>
      <c r="G87" s="37" t="s">
        <v>295</v>
      </c>
      <c r="H87" s="2"/>
      <c r="I87" s="2"/>
      <c r="J87" s="2"/>
      <c r="K87" s="2"/>
      <c r="L87" s="2"/>
      <c r="M87" s="2"/>
      <c r="O87" s="2"/>
      <c r="P87" s="2"/>
      <c r="Q87" s="2"/>
      <c r="R87" s="2"/>
    </row>
    <row r="88" spans="1:18" x14ac:dyDescent="0.25">
      <c r="A88" s="2"/>
      <c r="B88" s="2"/>
      <c r="C88" s="2" t="s">
        <v>57</v>
      </c>
      <c r="D88" s="2" t="s">
        <v>606</v>
      </c>
      <c r="E88" s="2">
        <v>2</v>
      </c>
      <c r="F88" s="2"/>
      <c r="G88" s="2">
        <f>+F87/E90</f>
        <v>6451.6129032258059</v>
      </c>
      <c r="H88" s="2">
        <v>1</v>
      </c>
      <c r="I88" s="2">
        <f>E87*E88/(E89*E90)</f>
        <v>25.806451612903224</v>
      </c>
      <c r="J88" s="2"/>
      <c r="K88" s="2"/>
      <c r="L88" s="2"/>
      <c r="M88" s="2"/>
      <c r="N88" s="2"/>
      <c r="O88" s="2"/>
      <c r="P88" s="2"/>
      <c r="Q88" s="2"/>
      <c r="R88" s="2"/>
    </row>
    <row r="89" spans="1:18" x14ac:dyDescent="0.25">
      <c r="A89" s="2"/>
      <c r="B89" s="2"/>
      <c r="C89" s="2" t="s">
        <v>58</v>
      </c>
      <c r="D89" s="116">
        <v>0.5</v>
      </c>
      <c r="E89" s="4">
        <f>1-D89</f>
        <v>0.5</v>
      </c>
      <c r="F89" s="75">
        <v>0.52</v>
      </c>
      <c r="G89" s="2">
        <f>G88/E89</f>
        <v>12903.225806451612</v>
      </c>
      <c r="H89" s="2">
        <v>2</v>
      </c>
      <c r="I89" s="2">
        <f>E91/(E96*E95)</f>
        <v>0.99255583126550873</v>
      </c>
      <c r="J89" s="2"/>
      <c r="K89" s="2"/>
      <c r="L89" s="2"/>
      <c r="M89" s="2"/>
      <c r="N89" s="2"/>
      <c r="O89" s="2"/>
      <c r="P89" s="2"/>
      <c r="Q89" s="2"/>
      <c r="R89" s="2"/>
    </row>
    <row r="90" spans="1:18" x14ac:dyDescent="0.25">
      <c r="A90" s="2"/>
      <c r="B90" s="2"/>
      <c r="C90" s="2" t="s">
        <v>59</v>
      </c>
      <c r="D90" s="2"/>
      <c r="E90" s="4">
        <v>0.93</v>
      </c>
      <c r="F90" s="2"/>
      <c r="G90" s="39">
        <f>G89*E88</f>
        <v>25806.451612903224</v>
      </c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1:18" x14ac:dyDescent="0.25">
      <c r="A91" s="2"/>
      <c r="B91" s="2"/>
      <c r="C91" s="2" t="s">
        <v>65</v>
      </c>
      <c r="D91" s="2"/>
      <c r="E91" s="2">
        <f>((E87/24)*E98)/(E89*E90*(E98/(E88*24)))</f>
        <v>25.806451612903228</v>
      </c>
      <c r="F91" s="2">
        <f>((E87/24)*E98)/(F89*E90*(E98/(E88*24)))</f>
        <v>24.813895781637715</v>
      </c>
      <c r="G91" s="2">
        <f>(E87*E88)/(E89*E90)</f>
        <v>25.806451612903224</v>
      </c>
      <c r="H91" s="2"/>
      <c r="I91" s="2" t="s">
        <v>596</v>
      </c>
      <c r="J91" s="2">
        <v>7.0000000000000007E-2</v>
      </c>
      <c r="K91" s="2"/>
      <c r="L91" s="2"/>
      <c r="M91" s="2"/>
      <c r="N91" s="2"/>
      <c r="O91" s="2"/>
      <c r="P91" s="2"/>
      <c r="Q91" s="2"/>
      <c r="R91" s="2"/>
    </row>
    <row r="92" spans="1:18" x14ac:dyDescent="0.25">
      <c r="A92" s="2"/>
      <c r="B92" s="2"/>
      <c r="C92" s="2" t="s">
        <v>601</v>
      </c>
      <c r="D92" s="2"/>
      <c r="E92" s="2">
        <f>E4</f>
        <v>12</v>
      </c>
      <c r="F92" s="2"/>
      <c r="G92" s="2"/>
      <c r="H92" s="2" t="s">
        <v>12</v>
      </c>
      <c r="I92" s="5" t="s">
        <v>63</v>
      </c>
      <c r="J92" s="5" t="s">
        <v>64</v>
      </c>
      <c r="K92" s="2"/>
      <c r="L92" s="2"/>
      <c r="M92" s="2"/>
      <c r="N92" s="2"/>
      <c r="O92" s="2"/>
      <c r="P92" s="2"/>
      <c r="Q92" s="2"/>
      <c r="R92" s="2"/>
    </row>
    <row r="93" spans="1:18" x14ac:dyDescent="0.25">
      <c r="A93" s="2"/>
      <c r="B93" s="2"/>
      <c r="C93" s="2"/>
      <c r="D93" s="2"/>
      <c r="E93" s="2"/>
      <c r="F93" s="2"/>
      <c r="G93" s="2" t="s">
        <v>416</v>
      </c>
      <c r="H93" s="2" t="s">
        <v>61</v>
      </c>
      <c r="I93" s="2">
        <f>E92/E97</f>
        <v>1</v>
      </c>
      <c r="J93" s="2">
        <f>E92/E97</f>
        <v>1</v>
      </c>
      <c r="K93" s="2"/>
      <c r="L93" s="2"/>
      <c r="M93" s="2"/>
      <c r="N93" s="2"/>
      <c r="O93" s="2"/>
      <c r="P93" s="2"/>
      <c r="Q93" s="2"/>
      <c r="R93" s="2"/>
    </row>
    <row r="94" spans="1:18" ht="15.75" thickBot="1" x14ac:dyDescent="0.3">
      <c r="A94" s="2"/>
      <c r="B94" s="2"/>
      <c r="C94" s="2" t="s">
        <v>54</v>
      </c>
      <c r="D94" s="2"/>
      <c r="E94" s="128" t="s">
        <v>382</v>
      </c>
      <c r="F94" s="128"/>
      <c r="G94" s="128"/>
      <c r="H94" s="2" t="s">
        <v>62</v>
      </c>
      <c r="I94" s="2">
        <f>IF(I95-ROUNDDOWN(I95,0)&gt;J91,ROUNDUP(I95,0),ROUNDDOWN(I95,0))</f>
        <v>1</v>
      </c>
      <c r="J94" s="2">
        <f>ROUNDUP(J95,0)</f>
        <v>1</v>
      </c>
      <c r="K94" s="2"/>
      <c r="L94" s="2"/>
      <c r="M94" s="2"/>
      <c r="N94" s="2"/>
      <c r="O94" s="2"/>
      <c r="P94" s="2"/>
      <c r="Q94" s="2"/>
      <c r="R94" s="2"/>
    </row>
    <row r="95" spans="1:18" ht="15.75" thickBot="1" x14ac:dyDescent="0.3">
      <c r="A95" s="2"/>
      <c r="B95" s="2"/>
      <c r="C95" s="2" t="s">
        <v>60</v>
      </c>
      <c r="D95" s="2"/>
      <c r="E95" s="33">
        <f>I94*I93</f>
        <v>1</v>
      </c>
      <c r="F95" s="2">
        <f>J94*J93</f>
        <v>1</v>
      </c>
      <c r="G95" s="2"/>
      <c r="H95" s="2"/>
      <c r="I95" s="2">
        <f>E91/E96</f>
        <v>0.99255583126550873</v>
      </c>
      <c r="J95" s="2">
        <f>F91/E96</f>
        <v>0.95438060698606597</v>
      </c>
      <c r="K95" s="2"/>
      <c r="L95" s="2"/>
      <c r="M95" s="2"/>
      <c r="N95" s="2"/>
      <c r="O95" s="2"/>
      <c r="P95" s="2"/>
      <c r="Q95" s="2"/>
      <c r="R95" s="2"/>
    </row>
    <row r="96" spans="1:18" x14ac:dyDescent="0.25">
      <c r="A96" s="2"/>
      <c r="B96" s="2"/>
      <c r="C96" s="2" t="s">
        <v>67</v>
      </c>
      <c r="D96" s="2"/>
      <c r="E96" s="6">
        <f>VLOOKUP(E94,Table3[],2,0)</f>
        <v>26</v>
      </c>
      <c r="F96" s="50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1:18" x14ac:dyDescent="0.25">
      <c r="A97" s="2"/>
      <c r="B97" s="2"/>
      <c r="C97" s="2" t="s">
        <v>68</v>
      </c>
      <c r="D97" s="2"/>
      <c r="E97" s="53">
        <f>VLOOKUP(E94,Table3[],3,0)</f>
        <v>12</v>
      </c>
      <c r="F97" s="50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1:18" x14ac:dyDescent="0.25">
      <c r="A98" s="2"/>
      <c r="B98" s="2"/>
      <c r="C98" s="2" t="s">
        <v>69</v>
      </c>
      <c r="D98" s="2"/>
      <c r="E98" s="2">
        <v>8</v>
      </c>
      <c r="F98" s="2"/>
      <c r="G98" s="2"/>
      <c r="H98" s="48"/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1:18" x14ac:dyDescent="0.25">
      <c r="A99" s="2"/>
      <c r="B99" s="2"/>
      <c r="C99" s="2" t="s">
        <v>56</v>
      </c>
      <c r="D99" s="2"/>
      <c r="E99" s="2">
        <v>1</v>
      </c>
      <c r="F99" s="2"/>
      <c r="G99" s="2"/>
      <c r="H99" s="48"/>
      <c r="I99" s="2"/>
      <c r="J99" s="2"/>
      <c r="K99" s="2"/>
      <c r="L99" s="2"/>
      <c r="M99" s="2"/>
      <c r="N99" s="2"/>
      <c r="O99" s="2"/>
      <c r="P99" s="2"/>
      <c r="Q99" s="2"/>
      <c r="R99" s="2"/>
    </row>
    <row r="100" spans="1:18" x14ac:dyDescent="0.25">
      <c r="A100" s="2"/>
      <c r="B100" s="2"/>
      <c r="C100" s="2" t="s">
        <v>87</v>
      </c>
      <c r="D100" s="2"/>
      <c r="E100" s="2" t="s">
        <v>88</v>
      </c>
      <c r="F100" s="2"/>
      <c r="G100" s="4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 t="s">
        <v>105</v>
      </c>
      <c r="D101" s="2"/>
      <c r="E101" s="9"/>
      <c r="F101" s="2"/>
      <c r="G101" s="4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 t="s">
        <v>495</v>
      </c>
      <c r="D102" s="2"/>
      <c r="E102" s="2">
        <f>VLOOKUP(E94,Table3[],11,0)</f>
        <v>29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x14ac:dyDescent="0.25">
      <c r="A103" s="2"/>
      <c r="B103" s="2"/>
      <c r="C103" s="2"/>
      <c r="D103" s="2"/>
      <c r="E103" s="2">
        <f>E102*E95</f>
        <v>29</v>
      </c>
      <c r="F103" s="2"/>
      <c r="G103" s="2"/>
      <c r="H103" s="48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1:18" x14ac:dyDescent="0.25">
      <c r="A104" s="2"/>
      <c r="B104" s="2"/>
      <c r="C104" s="2" t="s">
        <v>392</v>
      </c>
      <c r="D104" s="2"/>
      <c r="E104" s="2"/>
      <c r="F104" s="2"/>
      <c r="G104" s="50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ht="46.5" x14ac:dyDescent="0.35">
      <c r="A105" s="2"/>
      <c r="B105" s="2"/>
      <c r="C105" s="76" t="s">
        <v>433</v>
      </c>
      <c r="D105" s="76"/>
      <c r="E105" s="58">
        <f>E96*E97*E95*E90*E89</f>
        <v>145.08000000000001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</row>
    <row r="106" spans="1:18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1:18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51"/>
      <c r="M107" s="50"/>
      <c r="N107" s="50"/>
      <c r="O107" s="50"/>
      <c r="P107" s="2"/>
      <c r="Q107" s="2"/>
      <c r="R107" s="2"/>
    </row>
    <row r="108" spans="1:18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1:18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</row>
    <row r="110" spans="1:18" x14ac:dyDescent="0.25">
      <c r="A110" s="2"/>
      <c r="B110" s="2"/>
      <c r="C110" s="2"/>
      <c r="D110" s="2"/>
      <c r="E110" s="2"/>
      <c r="F110" s="2"/>
      <c r="G110" s="2"/>
      <c r="H110" s="48"/>
      <c r="I110" s="2"/>
      <c r="J110" s="130"/>
      <c r="K110" s="130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2"/>
      <c r="C111" s="2"/>
      <c r="D111" s="2"/>
      <c r="E111" s="2"/>
      <c r="F111" s="2"/>
      <c r="G111" s="2"/>
      <c r="H111" s="48"/>
      <c r="I111" s="2"/>
      <c r="J111" s="130"/>
      <c r="K111" s="130"/>
      <c r="L111" s="2"/>
      <c r="M111" s="2"/>
      <c r="N111" s="2"/>
      <c r="O111" s="2"/>
      <c r="P111" s="2"/>
      <c r="Q111" s="2"/>
      <c r="R111" s="2"/>
    </row>
    <row r="112" spans="1:18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1:18" x14ac:dyDescent="0.25">
      <c r="A114" s="2"/>
      <c r="B114" s="126" t="s">
        <v>34</v>
      </c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2"/>
      <c r="P114" s="2"/>
      <c r="Q114" s="2"/>
      <c r="R114" s="2"/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</row>
    <row r="116" spans="1:18" x14ac:dyDescent="0.25">
      <c r="A116" s="2"/>
      <c r="B116" s="2" t="s">
        <v>2</v>
      </c>
      <c r="C116" s="129" t="s">
        <v>98</v>
      </c>
      <c r="D116" s="129"/>
      <c r="E116" s="129"/>
      <c r="F116" s="129"/>
      <c r="G116" s="2"/>
      <c r="H116" s="2"/>
      <c r="I116" s="128"/>
      <c r="J116" s="128"/>
      <c r="K116" s="128"/>
      <c r="L116" s="128"/>
      <c r="M116" s="128"/>
      <c r="N116" s="2"/>
      <c r="O116" s="2"/>
      <c r="P116" s="2"/>
      <c r="Q116" s="2"/>
      <c r="R116" s="2"/>
    </row>
    <row r="117" spans="1:18" x14ac:dyDescent="0.25">
      <c r="A117" s="2"/>
      <c r="B117" s="2" t="s">
        <v>403</v>
      </c>
      <c r="C117" s="96">
        <f>IF(VLOOKUP($C$116,Controladores!$A2:$N28,7,0)=0,C118,VLOOKUP($C$116,Controladores!$A2:$N28,7,0))</f>
        <v>35</v>
      </c>
      <c r="D117" s="113"/>
      <c r="E117" s="2" t="s">
        <v>563</v>
      </c>
      <c r="F117" s="2" t="str">
        <f>IF(C47&lt;C117,"SI","NO")</f>
        <v>NO</v>
      </c>
      <c r="G117" s="2"/>
      <c r="H117" s="2"/>
      <c r="I117" s="98"/>
      <c r="J117" s="98"/>
      <c r="K117" s="98"/>
      <c r="L117" s="98"/>
      <c r="M117" s="98"/>
      <c r="N117" s="2"/>
      <c r="O117" s="2"/>
      <c r="P117" s="2"/>
      <c r="Q117" s="2"/>
      <c r="R117" s="2"/>
    </row>
    <row r="118" spans="1:18" x14ac:dyDescent="0.25">
      <c r="A118" s="2"/>
      <c r="B118" s="2" t="s">
        <v>561</v>
      </c>
      <c r="C118" s="96">
        <v>100</v>
      </c>
      <c r="D118" s="113"/>
      <c r="E118" s="2" t="s">
        <v>564</v>
      </c>
      <c r="F118" s="2"/>
      <c r="G118" s="2"/>
      <c r="H118" s="2"/>
      <c r="I118" s="2"/>
      <c r="J118" s="3"/>
      <c r="K118" s="2"/>
      <c r="L118" s="2"/>
      <c r="M118" s="2"/>
      <c r="N118" s="2"/>
      <c r="O118" s="2"/>
      <c r="P118" s="2"/>
      <c r="Q118" s="2"/>
      <c r="R118" s="2"/>
    </row>
    <row r="119" spans="1:18" x14ac:dyDescent="0.25">
      <c r="A119" s="2"/>
      <c r="B119" s="2" t="s">
        <v>562</v>
      </c>
      <c r="C119" s="96">
        <v>2</v>
      </c>
      <c r="D119" s="113"/>
      <c r="E119" s="2"/>
      <c r="F119" s="2">
        <f>I16/E4</f>
        <v>0.25</v>
      </c>
      <c r="G119" s="2"/>
      <c r="H119" s="2"/>
      <c r="I119" s="128"/>
      <c r="J119" s="128"/>
      <c r="K119" s="128"/>
      <c r="L119" s="128"/>
      <c r="M119" s="128"/>
      <c r="N119" s="2"/>
      <c r="O119" s="2"/>
      <c r="P119" s="2"/>
      <c r="Q119" s="2"/>
      <c r="R119" s="2"/>
    </row>
    <row r="120" spans="1:18" x14ac:dyDescent="0.25">
      <c r="A120" s="2"/>
      <c r="B120" s="2" t="s">
        <v>335</v>
      </c>
      <c r="C120" s="99">
        <f>VLOOKUP($C$116,Controladores!$A2:$M28,5,0)</f>
        <v>10</v>
      </c>
      <c r="D120" s="113"/>
      <c r="E120" s="2" t="s">
        <v>565</v>
      </c>
      <c r="F120" s="2" t="str">
        <f>IF(C120&gt;(I16/E4),"SI","NO")</f>
        <v>SI</v>
      </c>
      <c r="G120" s="2" t="s">
        <v>563</v>
      </c>
      <c r="H120" s="2"/>
      <c r="I120" s="98"/>
      <c r="J120" s="98"/>
      <c r="K120" s="98"/>
      <c r="L120" s="128"/>
      <c r="M120" s="128"/>
      <c r="N120" s="2"/>
      <c r="O120" s="2"/>
      <c r="P120" s="2"/>
      <c r="Q120" s="2"/>
      <c r="R120" s="2"/>
    </row>
    <row r="121" spans="1:18" x14ac:dyDescent="0.25">
      <c r="A121" s="2"/>
      <c r="B121" s="2" t="s">
        <v>39</v>
      </c>
      <c r="C121" s="96">
        <v>30000</v>
      </c>
      <c r="D121" s="113"/>
      <c r="E121" s="2" t="s">
        <v>40</v>
      </c>
      <c r="F121" s="2"/>
      <c r="G121" s="2"/>
      <c r="H121" s="2"/>
      <c r="I121" s="2"/>
      <c r="J121" s="2"/>
      <c r="K121" s="2"/>
      <c r="L121" s="128"/>
      <c r="M121" s="128"/>
      <c r="N121" s="2"/>
      <c r="O121" s="2"/>
      <c r="P121" s="2"/>
      <c r="Q121" s="2"/>
      <c r="R121" s="2"/>
    </row>
    <row r="122" spans="1:18" x14ac:dyDescent="0.25">
      <c r="A122" s="2"/>
      <c r="B122" s="2" t="s">
        <v>41</v>
      </c>
      <c r="C122" s="101">
        <f>VLOOKUP(C116,Controladores!A2:N28,12,0)</f>
        <v>0.7</v>
      </c>
      <c r="D122" s="101"/>
      <c r="E122" s="2"/>
      <c r="F122" s="2"/>
      <c r="G122" s="2"/>
      <c r="H122" s="2"/>
      <c r="I122" s="128"/>
      <c r="J122" s="128"/>
      <c r="K122" s="128"/>
      <c r="L122" s="128"/>
      <c r="M122" s="128"/>
      <c r="N122" s="2"/>
      <c r="O122" s="2"/>
      <c r="P122" s="2"/>
      <c r="Q122" s="2"/>
      <c r="R122" s="2"/>
    </row>
    <row r="123" spans="1:18" x14ac:dyDescent="0.25">
      <c r="A123" s="2"/>
      <c r="B123" s="2" t="s">
        <v>328</v>
      </c>
      <c r="C123" s="97">
        <f>1</f>
        <v>1</v>
      </c>
      <c r="D123" s="111"/>
      <c r="E123" s="2"/>
      <c r="F123" s="2"/>
      <c r="G123" s="2"/>
      <c r="H123" s="2"/>
      <c r="I123" s="128"/>
      <c r="J123" s="128"/>
      <c r="K123" s="128"/>
      <c r="L123" s="128"/>
      <c r="M123" s="128"/>
      <c r="N123" s="2"/>
      <c r="O123" s="2"/>
      <c r="P123" s="2"/>
      <c r="Q123" s="2"/>
      <c r="R123" s="2"/>
    </row>
    <row r="124" spans="1:18" x14ac:dyDescent="0.25">
      <c r="A124" s="2"/>
      <c r="B124" s="2" t="s">
        <v>77</v>
      </c>
      <c r="C124" s="107">
        <f>VLOOKUP($C$116,Controladores!$A$2:$M$28,4,0)</f>
        <v>69765</v>
      </c>
      <c r="D124" s="107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</row>
    <row r="125" spans="1:18" x14ac:dyDescent="0.25">
      <c r="A125" s="2"/>
      <c r="B125" s="2" t="s">
        <v>495</v>
      </c>
      <c r="C125" s="103">
        <f>VLOOKUP($C$116,Controladores!$A2:$N28,12,0)</f>
        <v>0.7</v>
      </c>
      <c r="D125" s="11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1:18" x14ac:dyDescent="0.25">
      <c r="A126" s="2"/>
      <c r="B126" s="126" t="s">
        <v>481</v>
      </c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2"/>
      <c r="P126" s="2"/>
      <c r="Q126" s="2"/>
      <c r="R126" s="2"/>
    </row>
    <row r="127" spans="1:18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</row>
    <row r="128" spans="1:18" x14ac:dyDescent="0.25">
      <c r="A128" s="2"/>
      <c r="B128" s="2" t="s">
        <v>488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</row>
    <row r="129" spans="1:18" x14ac:dyDescent="0.25">
      <c r="A129" s="2"/>
      <c r="B129" s="2" t="s">
        <v>492</v>
      </c>
      <c r="C129" s="2">
        <f>VLOOKUP(E94,Table3[],8,0)*VLOOKUP(E94,Table3[],9,0)*E95</f>
        <v>564.30000000000007</v>
      </c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1:18" x14ac:dyDescent="0.25">
      <c r="A130" s="2"/>
      <c r="B130" s="2" t="s">
        <v>494</v>
      </c>
      <c r="C130" s="5">
        <f>MIN(VLOOKUP(E94,Table3[],9,0)*E95,VLOOKUP(E94,Table3[],8,0)*E95)</f>
        <v>17.100000000000001</v>
      </c>
      <c r="D130" s="5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</row>
    <row r="131" spans="1:18" x14ac:dyDescent="0.25">
      <c r="A131" s="2"/>
      <c r="B131" s="2" t="s">
        <v>493</v>
      </c>
      <c r="C131" s="5">
        <f>MAX(VLOOKUP(E94,Table3[],9,0)*E95,VLOOKUP(E94,Table3[],8,0)*E95)</f>
        <v>33</v>
      </c>
      <c r="D131" s="5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</row>
    <row r="132" spans="1:18" x14ac:dyDescent="0.25">
      <c r="A132" s="2"/>
      <c r="B132" s="2" t="s">
        <v>496</v>
      </c>
      <c r="C132" s="2">
        <f>ROUNDUP(((C125+E102*E95)*1.45)/5,0)*5</f>
        <v>45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</row>
    <row r="133" spans="1:18" x14ac:dyDescent="0.25">
      <c r="A133" s="2"/>
      <c r="B133" s="2" t="s">
        <v>591</v>
      </c>
      <c r="C133" s="2">
        <f>130000+30000*(E44-1)</f>
        <v>190000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</row>
    <row r="134" spans="1:18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</row>
    <row r="135" spans="1:18" x14ac:dyDescent="0.25">
      <c r="A135" s="2"/>
      <c r="B135" s="126" t="s">
        <v>497</v>
      </c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2"/>
      <c r="P135" s="2"/>
      <c r="Q135" s="2"/>
      <c r="R135" s="2"/>
    </row>
    <row r="136" spans="1:18" x14ac:dyDescent="0.25">
      <c r="A136" s="2"/>
      <c r="B136" s="105"/>
      <c r="C136" s="105" t="s">
        <v>1</v>
      </c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2"/>
      <c r="P136" s="2"/>
      <c r="Q136" s="2"/>
      <c r="R136" s="2"/>
    </row>
    <row r="137" spans="1:18" x14ac:dyDescent="0.25">
      <c r="A137" s="2"/>
      <c r="B137" s="105" t="s">
        <v>501</v>
      </c>
      <c r="C137" s="105">
        <v>2</v>
      </c>
      <c r="D137" s="105"/>
      <c r="E137" s="107">
        <v>28500</v>
      </c>
      <c r="F137" s="107">
        <f>E137*C137</f>
        <v>57000</v>
      </c>
      <c r="G137" s="105"/>
      <c r="H137" s="105"/>
      <c r="I137" s="105"/>
      <c r="J137" s="105"/>
      <c r="K137" s="105"/>
      <c r="L137" s="105"/>
      <c r="M137" s="105"/>
      <c r="N137" s="105"/>
      <c r="O137" s="2"/>
      <c r="P137" s="2"/>
      <c r="Q137" s="2"/>
      <c r="R137" s="2"/>
    </row>
    <row r="138" spans="1:18" x14ac:dyDescent="0.25">
      <c r="A138" s="2"/>
      <c r="B138" s="105" t="s">
        <v>502</v>
      </c>
      <c r="C138" s="105">
        <v>8</v>
      </c>
      <c r="D138" s="105"/>
      <c r="E138" s="107">
        <v>3000</v>
      </c>
      <c r="F138" s="107">
        <f t="shared" ref="F138:F140" si="5">E138*C138</f>
        <v>24000</v>
      </c>
      <c r="G138" s="105"/>
      <c r="H138" s="105"/>
      <c r="I138" s="105"/>
      <c r="J138" s="105"/>
      <c r="K138" s="105"/>
      <c r="L138" s="105"/>
      <c r="M138" s="105"/>
      <c r="N138" s="105"/>
      <c r="O138" s="2"/>
      <c r="P138" s="2"/>
      <c r="Q138" s="2"/>
      <c r="R138" s="2"/>
    </row>
    <row r="139" spans="1:18" x14ac:dyDescent="0.25">
      <c r="A139" s="2"/>
      <c r="B139" s="105" t="s">
        <v>503</v>
      </c>
      <c r="C139" s="105">
        <v>2</v>
      </c>
      <c r="D139" s="105"/>
      <c r="E139" s="107">
        <v>2000</v>
      </c>
      <c r="F139" s="107">
        <f t="shared" si="5"/>
        <v>4000</v>
      </c>
      <c r="G139" s="105"/>
      <c r="H139" s="105"/>
      <c r="I139" s="105"/>
      <c r="J139" s="105"/>
      <c r="K139" s="105"/>
      <c r="L139" s="105"/>
      <c r="M139" s="105"/>
      <c r="N139" s="105"/>
      <c r="O139" s="2"/>
      <c r="P139" s="2"/>
      <c r="Q139" s="2"/>
      <c r="R139" s="2"/>
    </row>
    <row r="140" spans="1:18" x14ac:dyDescent="0.25">
      <c r="A140" s="2"/>
      <c r="B140" s="105" t="s">
        <v>498</v>
      </c>
      <c r="C140" s="105">
        <v>0.2</v>
      </c>
      <c r="D140" s="105"/>
      <c r="E140" s="107">
        <v>9000</v>
      </c>
      <c r="F140" s="107">
        <f t="shared" si="5"/>
        <v>1800</v>
      </c>
      <c r="G140" s="105"/>
      <c r="H140" s="105"/>
      <c r="I140" s="105"/>
      <c r="J140" s="105"/>
      <c r="K140" s="105"/>
      <c r="L140" s="105"/>
      <c r="M140" s="105"/>
      <c r="N140" s="105"/>
      <c r="O140" s="2"/>
      <c r="P140" s="2"/>
      <c r="Q140" s="2"/>
      <c r="R140" s="2"/>
    </row>
    <row r="141" spans="1:18" x14ac:dyDescent="0.25">
      <c r="A141" s="2"/>
      <c r="B141" s="105"/>
      <c r="C141" s="105" t="s">
        <v>417</v>
      </c>
      <c r="D141" s="105"/>
      <c r="E141" s="107"/>
      <c r="F141" s="107">
        <f>SUM(F137:F140)</f>
        <v>86800</v>
      </c>
      <c r="G141" s="105"/>
      <c r="H141" s="105"/>
      <c r="I141" s="105"/>
      <c r="J141" s="105"/>
      <c r="K141" s="105"/>
      <c r="L141" s="105"/>
      <c r="M141" s="105"/>
      <c r="N141" s="105"/>
      <c r="O141" s="2"/>
      <c r="P141" s="2"/>
      <c r="Q141" s="2"/>
      <c r="R141" s="2"/>
    </row>
    <row r="142" spans="1:18" x14ac:dyDescent="0.25">
      <c r="A142" s="2"/>
      <c r="B142" s="105"/>
      <c r="C142" s="105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2"/>
      <c r="P142" s="2"/>
      <c r="Q142" s="2"/>
      <c r="R142" s="2"/>
    </row>
    <row r="143" spans="1:18" x14ac:dyDescent="0.25">
      <c r="A143" s="2"/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2"/>
      <c r="P143" s="2"/>
      <c r="Q143" s="2"/>
      <c r="R143" s="2"/>
    </row>
    <row r="144" spans="1:18" x14ac:dyDescent="0.25">
      <c r="A144" s="2"/>
      <c r="B144" s="126" t="s">
        <v>482</v>
      </c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2"/>
      <c r="P144" s="2"/>
      <c r="Q144" s="2"/>
      <c r="R144" s="2"/>
    </row>
    <row r="145" spans="1:18" x14ac:dyDescent="0.25">
      <c r="A145" s="2"/>
      <c r="B145" s="2" t="s">
        <v>474</v>
      </c>
      <c r="C145" s="2" t="s">
        <v>473</v>
      </c>
      <c r="D145" s="2"/>
      <c r="E145" t="s">
        <v>475</v>
      </c>
      <c r="F145" s="2" t="s">
        <v>476</v>
      </c>
      <c r="G145" s="2"/>
      <c r="H145" s="2" t="s">
        <v>480</v>
      </c>
      <c r="I145" s="2" t="s">
        <v>477</v>
      </c>
      <c r="J145" s="2" t="s">
        <v>77</v>
      </c>
      <c r="K145" s="2" t="s">
        <v>478</v>
      </c>
      <c r="L145" s="2"/>
      <c r="M145" s="2"/>
      <c r="O145" s="2"/>
      <c r="P145" s="2"/>
      <c r="Q145" s="2"/>
      <c r="R145" s="2"/>
    </row>
    <row r="146" spans="1:18" x14ac:dyDescent="0.25">
      <c r="A146" s="2"/>
      <c r="B146" s="2">
        <v>1</v>
      </c>
      <c r="C146" s="2" t="str">
        <f xml:space="preserve"> _xlfn.CONCAT("MODULO SOLAR ",UPPER(K43))</f>
        <v>MODULO SOLAR POLICRISTALINO</v>
      </c>
      <c r="D146" s="2"/>
      <c r="E146" s="98">
        <f>E44</f>
        <v>3</v>
      </c>
      <c r="F146" s="140" t="str">
        <f>_xlfn.CONCAT(C43)</f>
        <v>10 Watts Policristalino</v>
      </c>
      <c r="G146" s="140"/>
      <c r="H146" s="104">
        <f>C51</f>
        <v>67000</v>
      </c>
      <c r="I146" s="44">
        <f>C52</f>
        <v>268000</v>
      </c>
      <c r="J146" s="104">
        <f t="shared" ref="J146:J151" si="6">I146/K146</f>
        <v>335000</v>
      </c>
      <c r="K146">
        <v>0.8</v>
      </c>
      <c r="N146" s="2"/>
      <c r="O146" s="2"/>
      <c r="P146" s="2"/>
      <c r="Q146" s="2"/>
      <c r="R146" s="2"/>
    </row>
    <row r="147" spans="1:18" x14ac:dyDescent="0.25">
      <c r="A147" s="2"/>
      <c r="B147" s="2">
        <f>B146+1</f>
        <v>2</v>
      </c>
      <c r="C147" s="2" t="s">
        <v>592</v>
      </c>
      <c r="D147" s="2"/>
      <c r="E147" s="103">
        <v>1</v>
      </c>
      <c r="F147" s="108" t="str">
        <f>_xlfn.CONCAT("SOPORTE PARA ",E44,  " PANEL SOLAR CON FIJACIÓN A POSTE")</f>
        <v>SOPORTE PARA 3 PANEL SOLAR CON FIJACIÓN A POSTE</v>
      </c>
      <c r="G147" s="108"/>
      <c r="H147" s="104">
        <v>150000</v>
      </c>
      <c r="I147" s="104">
        <f>C133</f>
        <v>190000</v>
      </c>
      <c r="J147" s="117">
        <f>H147/K147</f>
        <v>187500</v>
      </c>
      <c r="K147">
        <v>0.8</v>
      </c>
      <c r="N147" s="2"/>
      <c r="O147" s="2"/>
      <c r="P147" s="2"/>
      <c r="Q147" s="2"/>
      <c r="R147" s="2"/>
    </row>
    <row r="148" spans="1:18" x14ac:dyDescent="0.25">
      <c r="A148" s="2"/>
      <c r="B148" s="2">
        <f>B147+1</f>
        <v>3</v>
      </c>
      <c r="C148" s="2" t="s">
        <v>479</v>
      </c>
      <c r="D148" s="2"/>
      <c r="E148" s="98">
        <f>E95</f>
        <v>1</v>
      </c>
      <c r="F148" s="140" t="str">
        <f>E94</f>
        <v>Batería AGM 12VDC - 26AH Greencol</v>
      </c>
      <c r="G148" s="140"/>
      <c r="H148" s="28">
        <f>VLOOKUP(E94,Table3[],6,0)</f>
        <v>190009</v>
      </c>
      <c r="I148" s="43">
        <f>VLOOKUP(E94,Table3[],6,0)*E148</f>
        <v>190009</v>
      </c>
      <c r="J148" s="104">
        <f t="shared" si="6"/>
        <v>237511.25</v>
      </c>
      <c r="K148">
        <v>0.8</v>
      </c>
      <c r="L148" s="2"/>
      <c r="M148" s="2"/>
      <c r="N148" s="2"/>
      <c r="O148" s="2"/>
      <c r="P148" s="2"/>
      <c r="Q148" s="2"/>
      <c r="R148" s="2"/>
    </row>
    <row r="149" spans="1:18" x14ac:dyDescent="0.25">
      <c r="A149" s="2" t="s">
        <v>607</v>
      </c>
      <c r="B149" s="2">
        <f t="shared" ref="B149:B150" si="7">B148+1</f>
        <v>4</v>
      </c>
      <c r="C149" s="2" t="s">
        <v>34</v>
      </c>
      <c r="D149" s="2"/>
      <c r="E149" s="98">
        <v>1</v>
      </c>
      <c r="F149" s="140" t="str">
        <f>C116</f>
        <v>Controlador PWM 10A - 12V/24V</v>
      </c>
      <c r="G149" s="140"/>
      <c r="H149" s="44">
        <f>C124</f>
        <v>69765</v>
      </c>
      <c r="I149" s="44">
        <f>C124*C123</f>
        <v>69765</v>
      </c>
      <c r="J149" s="104">
        <f t="shared" si="6"/>
        <v>87206.25</v>
      </c>
      <c r="K149">
        <v>0.8</v>
      </c>
      <c r="L149" s="2"/>
      <c r="M149" s="2"/>
      <c r="N149" s="2"/>
      <c r="O149" s="2"/>
      <c r="P149" s="2"/>
      <c r="Q149" s="2"/>
      <c r="R149" s="2"/>
    </row>
    <row r="150" spans="1:18" ht="33" customHeight="1" x14ac:dyDescent="0.25">
      <c r="A150" s="2"/>
      <c r="B150" s="2">
        <f t="shared" si="7"/>
        <v>5</v>
      </c>
      <c r="C150" s="2" t="s">
        <v>481</v>
      </c>
      <c r="D150" s="2"/>
      <c r="E150" s="99">
        <v>1</v>
      </c>
      <c r="F150" s="136" t="str">
        <f>_xlfn.CONCAT("Tablero para soporte ",C132," Kg con dimensiones ",C131," cm de ancho, ",VLOOKUP(E94,Table3[],10,0)*3," cm de alto")</f>
        <v>Tablero para soporte 45 Kg con dimensiones 33 cm de ancho, 64,5 cm de alto</v>
      </c>
      <c r="G150" s="136"/>
      <c r="H150" s="43">
        <v>200000</v>
      </c>
      <c r="I150" s="44">
        <f t="shared" ref="I150:I155" si="8">H150*E150</f>
        <v>200000</v>
      </c>
      <c r="J150" s="104">
        <f t="shared" si="6"/>
        <v>250000</v>
      </c>
      <c r="K150">
        <v>0.8</v>
      </c>
      <c r="L150" s="2"/>
      <c r="M150" s="2"/>
      <c r="N150" s="2"/>
      <c r="O150" s="2"/>
      <c r="P150" s="2"/>
      <c r="Q150" s="2"/>
      <c r="R150" s="2"/>
    </row>
    <row r="151" spans="1:18" ht="30" customHeight="1" x14ac:dyDescent="0.25">
      <c r="A151" s="2"/>
      <c r="B151" s="2">
        <v>6</v>
      </c>
      <c r="C151" s="2" t="s">
        <v>497</v>
      </c>
      <c r="D151" s="2"/>
      <c r="E151" s="98">
        <v>1</v>
      </c>
      <c r="F151" s="136" t="str">
        <f>_xlfn.CONCAT(B137:B140)</f>
        <v xml:space="preserve">Breakers DC Borneras Frenos Canaleta </v>
      </c>
      <c r="G151" s="136"/>
      <c r="H151" s="43">
        <f>F141</f>
        <v>86800</v>
      </c>
      <c r="I151" s="44">
        <f t="shared" si="8"/>
        <v>86800</v>
      </c>
      <c r="J151" s="104">
        <f t="shared" si="6"/>
        <v>108500</v>
      </c>
      <c r="K151">
        <v>0.8</v>
      </c>
      <c r="L151" s="2"/>
      <c r="M151" s="2"/>
      <c r="N151" s="2"/>
      <c r="O151" s="2"/>
      <c r="P151" s="2"/>
      <c r="Q151" s="2"/>
      <c r="R151" s="2"/>
    </row>
    <row r="152" spans="1:18" ht="30" customHeight="1" x14ac:dyDescent="0.25">
      <c r="A152" s="2"/>
      <c r="B152" s="2">
        <v>7</v>
      </c>
      <c r="C152" s="2" t="s">
        <v>560</v>
      </c>
      <c r="D152" s="2"/>
      <c r="E152" s="103">
        <v>10</v>
      </c>
      <c r="F152" s="136" t="str">
        <f>C62</f>
        <v>Cable Fotovoltaico 1m 6mm</v>
      </c>
      <c r="G152" s="136"/>
      <c r="H152" s="43">
        <f>VLOOKUP(C62,'Cab&amp;Con'!A2:E20,4,0)</f>
        <v>6378.4</v>
      </c>
      <c r="I152" s="44">
        <f t="shared" si="8"/>
        <v>63784</v>
      </c>
      <c r="J152" s="44">
        <f>E152*H152/K152</f>
        <v>79730</v>
      </c>
      <c r="K152">
        <v>0.8</v>
      </c>
      <c r="L152" s="2"/>
      <c r="M152" s="2"/>
      <c r="N152" s="2"/>
      <c r="O152" s="2"/>
      <c r="P152" s="2"/>
      <c r="Q152" s="2"/>
      <c r="R152" s="2"/>
    </row>
    <row r="153" spans="1:18" ht="30" customHeight="1" x14ac:dyDescent="0.25">
      <c r="A153" s="2"/>
      <c r="B153" s="2">
        <v>8</v>
      </c>
      <c r="C153" s="2" t="s">
        <v>593</v>
      </c>
      <c r="D153" s="2"/>
      <c r="E153" s="103">
        <v>3</v>
      </c>
      <c r="F153" s="136" t="s">
        <v>594</v>
      </c>
      <c r="G153" s="136"/>
      <c r="H153" s="44">
        <v>75000</v>
      </c>
      <c r="I153" s="44">
        <f t="shared" si="8"/>
        <v>225000</v>
      </c>
      <c r="J153" s="44">
        <f>E153*H153/K153</f>
        <v>281250</v>
      </c>
      <c r="K153">
        <v>0.8</v>
      </c>
      <c r="L153" s="2"/>
      <c r="M153" s="2"/>
      <c r="N153" s="2"/>
      <c r="O153" s="2"/>
      <c r="P153" s="2"/>
      <c r="Q153" s="2"/>
      <c r="R153" s="2"/>
    </row>
    <row r="154" spans="1:18" s="38" customFormat="1" ht="30" customHeight="1" x14ac:dyDescent="0.25">
      <c r="B154" s="38">
        <v>9</v>
      </c>
      <c r="C154" s="38" t="s">
        <v>608</v>
      </c>
      <c r="E154" s="118">
        <v>1</v>
      </c>
      <c r="F154" s="119"/>
      <c r="G154" s="119"/>
      <c r="H154" s="117">
        <v>100000</v>
      </c>
      <c r="I154" s="117">
        <f t="shared" si="8"/>
        <v>100000</v>
      </c>
      <c r="J154" s="44">
        <f>E154*H154/K154</f>
        <v>142857.14285714287</v>
      </c>
      <c r="K154">
        <v>0.7</v>
      </c>
    </row>
    <row r="155" spans="1:18" s="38" customFormat="1" ht="30" customHeight="1" x14ac:dyDescent="0.25">
      <c r="B155" s="38">
        <v>10</v>
      </c>
      <c r="C155" s="38" t="s">
        <v>609</v>
      </c>
      <c r="E155" s="118">
        <v>1</v>
      </c>
      <c r="F155" s="119"/>
      <c r="G155" s="119"/>
      <c r="H155" s="117">
        <v>50000</v>
      </c>
      <c r="I155" s="117">
        <f t="shared" si="8"/>
        <v>50000</v>
      </c>
      <c r="J155" s="44">
        <f>E155*H155/K155</f>
        <v>62500</v>
      </c>
      <c r="K155">
        <v>0.8</v>
      </c>
    </row>
    <row r="156" spans="1:18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</row>
    <row r="157" spans="1:18" x14ac:dyDescent="0.25">
      <c r="A157" s="2"/>
      <c r="B157" s="2"/>
      <c r="C157" s="2"/>
      <c r="D157" s="2"/>
      <c r="E157" s="2"/>
      <c r="F157" s="2"/>
      <c r="G157" s="2"/>
      <c r="H157" s="2" t="s">
        <v>417</v>
      </c>
      <c r="I157" s="44">
        <f>SUM(I146:I155)</f>
        <v>1443358</v>
      </c>
      <c r="J157" s="44">
        <f>SUM(J146:J155)</f>
        <v>1772054.642857143</v>
      </c>
      <c r="K157" s="2">
        <f>I157/J157</f>
        <v>0.81451100044681779</v>
      </c>
      <c r="L157" s="2"/>
      <c r="M157" s="2"/>
      <c r="N157" s="2"/>
      <c r="O157" s="2"/>
      <c r="P157" s="2"/>
      <c r="Q157" s="2"/>
      <c r="R157" s="2"/>
    </row>
    <row r="158" spans="1:18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</row>
    <row r="159" spans="1:18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1:18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1:18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</row>
    <row r="162" spans="1:18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1:18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1:18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1:18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1:18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1:18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1:18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1:18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1:18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1:18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1:18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1:18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1:18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1:18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1:18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1:18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1:18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1:18" x14ac:dyDescent="0.25">
      <c r="I179" s="2"/>
      <c r="J179" s="2"/>
      <c r="K179" s="2"/>
      <c r="L179" s="2"/>
      <c r="M179" s="2"/>
      <c r="N179" s="2"/>
    </row>
    <row r="180" spans="1:18" x14ac:dyDescent="0.25">
      <c r="I180" s="2"/>
      <c r="J180" s="2"/>
      <c r="K180" s="2"/>
      <c r="L180" s="2"/>
      <c r="M180" s="2"/>
    </row>
    <row r="4701" spans="5:5" x14ac:dyDescent="0.25">
      <c r="E4701">
        <v>1</v>
      </c>
    </row>
  </sheetData>
  <mergeCells count="38">
    <mergeCell ref="B135:N135"/>
    <mergeCell ref="F151:G151"/>
    <mergeCell ref="B126:N126"/>
    <mergeCell ref="B144:N144"/>
    <mergeCell ref="F150:G150"/>
    <mergeCell ref="F149:G149"/>
    <mergeCell ref="F148:G148"/>
    <mergeCell ref="F146:G146"/>
    <mergeCell ref="L121:M121"/>
    <mergeCell ref="I122:K122"/>
    <mergeCell ref="L122:M122"/>
    <mergeCell ref="I123:K123"/>
    <mergeCell ref="L123:M123"/>
    <mergeCell ref="B60:C60"/>
    <mergeCell ref="F60:G60"/>
    <mergeCell ref="C116:F116"/>
    <mergeCell ref="L120:M120"/>
    <mergeCell ref="E94:G94"/>
    <mergeCell ref="J110:K111"/>
    <mergeCell ref="B114:N114"/>
    <mergeCell ref="I116:K116"/>
    <mergeCell ref="L116:M116"/>
    <mergeCell ref="F152:G152"/>
    <mergeCell ref="F153:G153"/>
    <mergeCell ref="G42:H42"/>
    <mergeCell ref="B9:N9"/>
    <mergeCell ref="B13:N13"/>
    <mergeCell ref="F14:G14"/>
    <mergeCell ref="B25:N25"/>
    <mergeCell ref="B35:N35"/>
    <mergeCell ref="I119:M119"/>
    <mergeCell ref="K43:K44"/>
    <mergeCell ref="G47:H47"/>
    <mergeCell ref="J50:K51"/>
    <mergeCell ref="G53:H53"/>
    <mergeCell ref="B75:N75"/>
    <mergeCell ref="B85:N85"/>
    <mergeCell ref="C59:F59"/>
  </mergeCells>
  <conditionalFormatting sqref="G5">
    <cfRule type="expression" dxfId="2" priority="2">
      <formula>$B$7=1</formula>
    </cfRule>
  </conditionalFormatting>
  <conditionalFormatting sqref="H5">
    <cfRule type="expression" dxfId="1" priority="1">
      <formula>$B$7=1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219075</xdr:colOff>
                    <xdr:row>2</xdr:row>
                    <xdr:rowOff>9525</xdr:rowOff>
                  </from>
                  <to>
                    <xdr:col>1</xdr:col>
                    <xdr:colOff>962025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Option Button 2">
              <controlPr defaultSize="0" autoFill="0" autoLine="0" autoPict="0">
                <anchor moveWithCells="1">
                  <from>
                    <xdr:col>0</xdr:col>
                    <xdr:colOff>390525</xdr:colOff>
                    <xdr:row>3</xdr:row>
                    <xdr:rowOff>9525</xdr:rowOff>
                  </from>
                  <to>
                    <xdr:col>1</xdr:col>
                    <xdr:colOff>733425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Option Button 3">
              <controlPr defaultSize="0" autoFill="0" autoLine="0" autoPict="0">
                <anchor moveWithCells="1">
                  <from>
                    <xdr:col>0</xdr:col>
                    <xdr:colOff>390525</xdr:colOff>
                    <xdr:row>4</xdr:row>
                    <xdr:rowOff>9525</xdr:rowOff>
                  </from>
                  <to>
                    <xdr:col>1</xdr:col>
                    <xdr:colOff>762000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457200</xdr:colOff>
                    <xdr:row>5</xdr:row>
                    <xdr:rowOff>95250</xdr:rowOff>
                  </from>
                  <to>
                    <xdr:col>1</xdr:col>
                    <xdr:colOff>1295400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</xdr:col>
                    <xdr:colOff>638175</xdr:colOff>
                    <xdr:row>35</xdr:row>
                    <xdr:rowOff>152400</xdr:rowOff>
                  </from>
                  <to>
                    <xdr:col>2</xdr:col>
                    <xdr:colOff>1295400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9" name="Option Button 21">
              <controlPr defaultSize="0" autoFill="0" autoLine="0" autoPict="0">
                <anchor moveWithCells="1">
                  <from>
                    <xdr:col>1</xdr:col>
                    <xdr:colOff>723900</xdr:colOff>
                    <xdr:row>36</xdr:row>
                    <xdr:rowOff>95250</xdr:rowOff>
                  </from>
                  <to>
                    <xdr:col>1</xdr:col>
                    <xdr:colOff>1438275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Option Button 22">
              <controlPr defaultSize="0" autoFill="0" autoLine="0" autoPict="0">
                <anchor moveWithCells="1">
                  <from>
                    <xdr:col>2</xdr:col>
                    <xdr:colOff>219075</xdr:colOff>
                    <xdr:row>36</xdr:row>
                    <xdr:rowOff>76200</xdr:rowOff>
                  </from>
                  <to>
                    <xdr:col>2</xdr:col>
                    <xdr:colOff>1038225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1" name="Group Box 26">
              <controlPr defaultSize="0" autoFill="0" autoPict="0">
                <anchor moveWithCells="1">
                  <from>
                    <xdr:col>7</xdr:col>
                    <xdr:colOff>200025</xdr:colOff>
                    <xdr:row>58</xdr:row>
                    <xdr:rowOff>257175</xdr:rowOff>
                  </from>
                  <to>
                    <xdr:col>9</xdr:col>
                    <xdr:colOff>9525</xdr:colOff>
                    <xdr:row>60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2" name="Option Button 27">
              <controlPr defaultSize="0" autoFill="0" autoLine="0" autoPict="0">
                <anchor moveWithCells="1">
                  <from>
                    <xdr:col>7</xdr:col>
                    <xdr:colOff>352425</xdr:colOff>
                    <xdr:row>59</xdr:row>
                    <xdr:rowOff>180975</xdr:rowOff>
                  </from>
                  <to>
                    <xdr:col>7</xdr:col>
                    <xdr:colOff>1409700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3" name="Option Button 28">
              <controlPr defaultSize="0" autoFill="0" autoLine="0" autoPict="0">
                <anchor moveWithCells="1">
                  <from>
                    <xdr:col>7</xdr:col>
                    <xdr:colOff>1476375</xdr:colOff>
                    <xdr:row>59</xdr:row>
                    <xdr:rowOff>142875</xdr:rowOff>
                  </from>
                  <to>
                    <xdr:col>8</xdr:col>
                    <xdr:colOff>1009650</xdr:colOff>
                    <xdr:row>60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Baterias!$A$2:$A$23</xm:f>
          </x14:formula1>
          <xm:sqref>E94</xm:sqref>
        </x14:dataValidation>
        <x14:dataValidation type="list" allowBlank="1" showInputMessage="1" showErrorMessage="1">
          <x14:formula1>
            <xm:f>Controladores!$A$2:$A$28</xm:f>
          </x14:formula1>
          <xm:sqref>C116:D116</xm:sqref>
        </x14:dataValidation>
        <x14:dataValidation type="list" allowBlank="1" showInputMessage="1" showErrorMessage="1">
          <x14:formula1>
            <xm:f>Paneles!$A$2:$A$31</xm:f>
          </x14:formula1>
          <xm:sqref>D43</xm:sqref>
        </x14:dataValidation>
        <x14:dataValidation type="list" allowBlank="1" showInputMessage="1" showErrorMessage="1">
          <x14:formula1>
            <xm:f>OFFSET('Cab&amp;Con'!$A$2,IF($I$61=1,13,0),0,IF($I$61=1,4,15),1)</xm:f>
          </x14:formula1>
          <xm:sqref>C62:D62</xm:sqref>
        </x14:dataValidation>
        <x14:dataValidation type="list" allowBlank="1" showInputMessage="1" showErrorMessage="1">
          <x14:formula1>
            <xm:f>Paneles!$A$2:$A$29</xm:f>
          </x14:formula1>
          <xm:sqref>C43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48576"/>
  <sheetViews>
    <sheetView workbookViewId="0">
      <selection activeCell="E16" sqref="E16"/>
    </sheetView>
  </sheetViews>
  <sheetFormatPr baseColWidth="10" defaultRowHeight="15" x14ac:dyDescent="0.25"/>
  <cols>
    <col min="1" max="1" width="48.85546875" bestFit="1" customWidth="1"/>
    <col min="3" max="4" width="13" bestFit="1" customWidth="1"/>
  </cols>
  <sheetData>
    <row r="1" spans="1:5" x14ac:dyDescent="0.25">
      <c r="A1" t="s">
        <v>473</v>
      </c>
      <c r="B1" t="s">
        <v>566</v>
      </c>
      <c r="C1" t="s">
        <v>77</v>
      </c>
      <c r="E1" t="s">
        <v>590</v>
      </c>
    </row>
    <row r="2" spans="1:5" x14ac:dyDescent="0.25">
      <c r="A2" t="s">
        <v>570</v>
      </c>
      <c r="B2">
        <v>5</v>
      </c>
      <c r="C2" s="28">
        <v>62400</v>
      </c>
      <c r="D2" s="28">
        <f t="shared" ref="D2:D5" si="0">C2*0.19+C2</f>
        <v>74256</v>
      </c>
      <c r="E2">
        <v>45</v>
      </c>
    </row>
    <row r="3" spans="1:5" x14ac:dyDescent="0.25">
      <c r="A3" t="s">
        <v>571</v>
      </c>
      <c r="B3">
        <v>10</v>
      </c>
      <c r="C3" s="28">
        <v>116000</v>
      </c>
      <c r="D3" s="28">
        <f t="shared" si="0"/>
        <v>138040</v>
      </c>
      <c r="E3">
        <v>45</v>
      </c>
    </row>
    <row r="4" spans="1:5" x14ac:dyDescent="0.25">
      <c r="A4" t="s">
        <v>572</v>
      </c>
      <c r="B4">
        <v>15</v>
      </c>
      <c r="C4" s="28">
        <v>169900</v>
      </c>
      <c r="D4" s="28">
        <f t="shared" si="0"/>
        <v>202181</v>
      </c>
      <c r="E4">
        <v>45</v>
      </c>
    </row>
    <row r="5" spans="1:5" x14ac:dyDescent="0.25">
      <c r="A5" t="s">
        <v>573</v>
      </c>
      <c r="B5">
        <v>20</v>
      </c>
      <c r="C5" s="28">
        <v>223200</v>
      </c>
      <c r="D5" s="28">
        <f t="shared" si="0"/>
        <v>265608</v>
      </c>
      <c r="E5">
        <v>45</v>
      </c>
    </row>
    <row r="6" spans="1:5" x14ac:dyDescent="0.25">
      <c r="A6" t="s">
        <v>580</v>
      </c>
      <c r="B6">
        <v>1.5</v>
      </c>
      <c r="C6" s="28">
        <v>27500</v>
      </c>
      <c r="D6" s="28">
        <f t="shared" ref="D6:D20" si="1">C6*0.19+C6</f>
        <v>32725</v>
      </c>
      <c r="E6">
        <v>75</v>
      </c>
    </row>
    <row r="7" spans="1:5" x14ac:dyDescent="0.25">
      <c r="A7" t="s">
        <v>581</v>
      </c>
      <c r="B7">
        <v>2</v>
      </c>
      <c r="C7" s="28">
        <v>34500</v>
      </c>
      <c r="D7" s="28">
        <f t="shared" si="1"/>
        <v>41055</v>
      </c>
      <c r="E7">
        <v>75</v>
      </c>
    </row>
    <row r="8" spans="1:5" x14ac:dyDescent="0.25">
      <c r="A8" t="s">
        <v>579</v>
      </c>
      <c r="B8">
        <v>0.2</v>
      </c>
      <c r="C8" s="28">
        <v>12500</v>
      </c>
      <c r="D8" s="28">
        <f t="shared" si="1"/>
        <v>14875</v>
      </c>
      <c r="E8">
        <v>75</v>
      </c>
    </row>
    <row r="9" spans="1:5" x14ac:dyDescent="0.25">
      <c r="A9" t="s">
        <v>582</v>
      </c>
      <c r="B9">
        <v>0.88</v>
      </c>
      <c r="C9" s="28">
        <v>24000</v>
      </c>
      <c r="D9" s="28">
        <f t="shared" si="1"/>
        <v>28560</v>
      </c>
      <c r="E9">
        <v>75</v>
      </c>
    </row>
    <row r="10" spans="1:5" x14ac:dyDescent="0.25">
      <c r="A10" t="s">
        <v>567</v>
      </c>
      <c r="B10">
        <v>1</v>
      </c>
      <c r="C10" s="28">
        <v>5360</v>
      </c>
      <c r="D10" s="28">
        <f t="shared" si="1"/>
        <v>6378.4</v>
      </c>
      <c r="E10">
        <v>45</v>
      </c>
    </row>
    <row r="11" spans="1:5" x14ac:dyDescent="0.25">
      <c r="A11" t="s">
        <v>574</v>
      </c>
      <c r="B11">
        <v>1</v>
      </c>
      <c r="C11" s="28">
        <v>4390</v>
      </c>
      <c r="D11" s="28">
        <f t="shared" si="1"/>
        <v>5224.1000000000004</v>
      </c>
      <c r="E11">
        <v>40</v>
      </c>
    </row>
    <row r="12" spans="1:5" x14ac:dyDescent="0.25">
      <c r="A12" t="s">
        <v>583</v>
      </c>
      <c r="B12">
        <v>10</v>
      </c>
      <c r="C12" s="28">
        <v>128800</v>
      </c>
      <c r="D12" s="28">
        <f t="shared" si="1"/>
        <v>153272</v>
      </c>
      <c r="E12">
        <v>40</v>
      </c>
    </row>
    <row r="13" spans="1:5" x14ac:dyDescent="0.25">
      <c r="A13" t="s">
        <v>584</v>
      </c>
      <c r="B13">
        <v>20</v>
      </c>
      <c r="C13" s="28">
        <v>228400</v>
      </c>
      <c r="D13" s="28">
        <f t="shared" si="1"/>
        <v>271796</v>
      </c>
      <c r="E13">
        <v>40</v>
      </c>
    </row>
    <row r="14" spans="1:5" x14ac:dyDescent="0.25">
      <c r="A14" t="s">
        <v>585</v>
      </c>
      <c r="B14">
        <v>5</v>
      </c>
      <c r="C14" s="28">
        <v>69400</v>
      </c>
      <c r="D14" s="28">
        <f t="shared" si="1"/>
        <v>82586</v>
      </c>
      <c r="E14">
        <v>40</v>
      </c>
    </row>
    <row r="15" spans="1:5" x14ac:dyDescent="0.25">
      <c r="A15" t="s">
        <v>568</v>
      </c>
      <c r="B15">
        <v>1</v>
      </c>
      <c r="C15" s="28">
        <v>30000</v>
      </c>
      <c r="D15" s="28">
        <f t="shared" si="1"/>
        <v>35700</v>
      </c>
    </row>
    <row r="16" spans="1:5" x14ac:dyDescent="0.25">
      <c r="A16" t="s">
        <v>569</v>
      </c>
      <c r="B16">
        <v>1</v>
      </c>
      <c r="C16" s="28">
        <v>38000</v>
      </c>
      <c r="D16" s="28">
        <f t="shared" si="1"/>
        <v>45220</v>
      </c>
    </row>
    <row r="17" spans="1:5" x14ac:dyDescent="0.25">
      <c r="A17" t="s">
        <v>575</v>
      </c>
      <c r="B17">
        <v>2</v>
      </c>
      <c r="C17" s="28">
        <v>16500</v>
      </c>
      <c r="D17" s="28">
        <f t="shared" si="1"/>
        <v>19635</v>
      </c>
      <c r="E17">
        <v>40</v>
      </c>
    </row>
    <row r="18" spans="1:5" x14ac:dyDescent="0.25">
      <c r="A18" t="s">
        <v>576</v>
      </c>
      <c r="B18">
        <v>2</v>
      </c>
      <c r="C18" s="28">
        <v>18500</v>
      </c>
      <c r="D18" s="28">
        <f t="shared" si="1"/>
        <v>22015</v>
      </c>
      <c r="E18">
        <v>45</v>
      </c>
    </row>
    <row r="19" spans="1:5" x14ac:dyDescent="0.25">
      <c r="A19" t="s">
        <v>577</v>
      </c>
      <c r="B19">
        <v>1</v>
      </c>
      <c r="C19" s="28">
        <v>12700</v>
      </c>
      <c r="D19" s="28">
        <f t="shared" si="1"/>
        <v>15113</v>
      </c>
      <c r="E19">
        <v>45</v>
      </c>
    </row>
    <row r="20" spans="1:5" x14ac:dyDescent="0.25">
      <c r="A20" t="s">
        <v>578</v>
      </c>
      <c r="B20">
        <v>1</v>
      </c>
      <c r="C20" s="28">
        <v>11700</v>
      </c>
      <c r="D20" s="28">
        <f t="shared" si="1"/>
        <v>13923</v>
      </c>
      <c r="E20">
        <v>40</v>
      </c>
    </row>
    <row r="1048576" spans="5:5" x14ac:dyDescent="0.25">
      <c r="E1048576">
        <v>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60"/>
  <sheetViews>
    <sheetView workbookViewId="0">
      <selection activeCell="C23" sqref="C23"/>
    </sheetView>
  </sheetViews>
  <sheetFormatPr baseColWidth="10" defaultColWidth="9.140625" defaultRowHeight="15" x14ac:dyDescent="0.25"/>
  <cols>
    <col min="1" max="1" width="40" bestFit="1" customWidth="1"/>
    <col min="2" max="2" width="16.42578125" customWidth="1"/>
    <col min="3" max="3" width="9.5703125" customWidth="1"/>
    <col min="5" max="5" width="12.42578125" customWidth="1"/>
    <col min="6" max="6" width="14.7109375" bestFit="1" customWidth="1"/>
    <col min="7" max="7" width="12.42578125" customWidth="1"/>
  </cols>
  <sheetData>
    <row r="1" spans="1:13" x14ac:dyDescent="0.25">
      <c r="A1" t="s">
        <v>2</v>
      </c>
      <c r="B1" t="s">
        <v>67</v>
      </c>
      <c r="C1" t="s">
        <v>55</v>
      </c>
      <c r="D1" t="s">
        <v>365</v>
      </c>
      <c r="E1" t="s">
        <v>369</v>
      </c>
      <c r="F1" t="s">
        <v>379</v>
      </c>
      <c r="G1" t="s">
        <v>87</v>
      </c>
      <c r="H1" t="s">
        <v>489</v>
      </c>
      <c r="I1" t="s">
        <v>490</v>
      </c>
      <c r="J1" t="s">
        <v>491</v>
      </c>
      <c r="K1" t="s">
        <v>487</v>
      </c>
    </row>
    <row r="2" spans="1:13" x14ac:dyDescent="0.25">
      <c r="A2" t="s">
        <v>382</v>
      </c>
      <c r="B2">
        <v>26</v>
      </c>
      <c r="C2">
        <v>12</v>
      </c>
      <c r="D2" t="s">
        <v>367</v>
      </c>
      <c r="E2" t="s">
        <v>373</v>
      </c>
      <c r="F2" s="29">
        <v>190009</v>
      </c>
      <c r="G2" t="s">
        <v>91</v>
      </c>
      <c r="H2">
        <v>33</v>
      </c>
      <c r="I2">
        <v>17.100000000000001</v>
      </c>
      <c r="J2">
        <v>21.5</v>
      </c>
      <c r="K2">
        <v>29</v>
      </c>
    </row>
    <row r="3" spans="1:13" x14ac:dyDescent="0.25">
      <c r="A3" t="s">
        <v>383</v>
      </c>
      <c r="B3">
        <v>55</v>
      </c>
      <c r="C3">
        <v>12</v>
      </c>
      <c r="D3" t="s">
        <v>367</v>
      </c>
      <c r="E3" t="s">
        <v>373</v>
      </c>
      <c r="F3" s="29">
        <v>417156</v>
      </c>
      <c r="G3" t="s">
        <v>91</v>
      </c>
      <c r="H3">
        <v>22.4</v>
      </c>
      <c r="I3">
        <v>13.2</v>
      </c>
      <c r="J3">
        <v>21</v>
      </c>
      <c r="K3">
        <v>17.3</v>
      </c>
    </row>
    <row r="4" spans="1:13" x14ac:dyDescent="0.25">
      <c r="A4" t="s">
        <v>384</v>
      </c>
      <c r="B4">
        <v>75</v>
      </c>
      <c r="C4">
        <v>12</v>
      </c>
      <c r="D4" t="s">
        <v>367</v>
      </c>
      <c r="E4" t="s">
        <v>373</v>
      </c>
      <c r="F4" s="29">
        <v>484688</v>
      </c>
      <c r="G4" t="s">
        <v>91</v>
      </c>
      <c r="H4">
        <v>25.8</v>
      </c>
      <c r="I4">
        <v>16.600000000000001</v>
      </c>
      <c r="J4">
        <v>21.5</v>
      </c>
      <c r="K4">
        <v>23.5</v>
      </c>
    </row>
    <row r="5" spans="1:13" x14ac:dyDescent="0.25">
      <c r="A5" t="s">
        <v>385</v>
      </c>
      <c r="B5">
        <v>100</v>
      </c>
      <c r="C5">
        <v>12</v>
      </c>
      <c r="D5" t="s">
        <v>367</v>
      </c>
      <c r="E5" t="s">
        <v>373</v>
      </c>
      <c r="F5" s="29">
        <v>609626</v>
      </c>
      <c r="G5" t="s">
        <v>91</v>
      </c>
      <c r="H5">
        <v>25.8</v>
      </c>
      <c r="I5">
        <v>16.600000000000001</v>
      </c>
      <c r="J5">
        <v>21.5</v>
      </c>
      <c r="K5">
        <v>23.5</v>
      </c>
    </row>
    <row r="6" spans="1:13" x14ac:dyDescent="0.25">
      <c r="A6" t="s">
        <v>386</v>
      </c>
      <c r="B6">
        <v>120</v>
      </c>
      <c r="C6">
        <v>12</v>
      </c>
      <c r="D6" t="s">
        <v>367</v>
      </c>
      <c r="E6" t="s">
        <v>373</v>
      </c>
      <c r="F6" s="29">
        <v>712485</v>
      </c>
      <c r="G6" t="s">
        <v>91</v>
      </c>
      <c r="K6" s="56"/>
    </row>
    <row r="7" spans="1:13" x14ac:dyDescent="0.25">
      <c r="A7" t="s">
        <v>387</v>
      </c>
      <c r="B7">
        <v>150</v>
      </c>
      <c r="C7">
        <v>12</v>
      </c>
      <c r="D7" t="s">
        <v>367</v>
      </c>
      <c r="E7" t="s">
        <v>373</v>
      </c>
      <c r="F7" s="29">
        <v>921838</v>
      </c>
      <c r="G7" t="s">
        <v>91</v>
      </c>
      <c r="H7">
        <v>48.2</v>
      </c>
      <c r="I7">
        <v>17</v>
      </c>
      <c r="J7">
        <v>24</v>
      </c>
      <c r="K7">
        <v>44.8</v>
      </c>
    </row>
    <row r="8" spans="1:13" x14ac:dyDescent="0.25">
      <c r="A8" t="s">
        <v>331</v>
      </c>
      <c r="B8">
        <v>250</v>
      </c>
      <c r="C8">
        <v>12</v>
      </c>
      <c r="D8" t="s">
        <v>375</v>
      </c>
      <c r="E8" t="s">
        <v>373</v>
      </c>
      <c r="F8" s="29">
        <v>1621828</v>
      </c>
      <c r="G8" t="s">
        <v>88</v>
      </c>
      <c r="H8">
        <v>52.1</v>
      </c>
      <c r="I8">
        <v>26.9</v>
      </c>
      <c r="J8">
        <v>22</v>
      </c>
      <c r="K8">
        <v>74.5</v>
      </c>
    </row>
    <row r="9" spans="1:13" x14ac:dyDescent="0.25">
      <c r="A9" t="s">
        <v>368</v>
      </c>
      <c r="B9">
        <v>150</v>
      </c>
      <c r="C9">
        <v>12</v>
      </c>
      <c r="D9" t="s">
        <v>367</v>
      </c>
      <c r="E9" t="s">
        <v>373</v>
      </c>
      <c r="F9" s="29">
        <v>862500</v>
      </c>
      <c r="G9" t="s">
        <v>88</v>
      </c>
      <c r="H9">
        <v>48.2</v>
      </c>
      <c r="I9">
        <v>17</v>
      </c>
      <c r="J9">
        <v>24</v>
      </c>
      <c r="K9">
        <v>44.8</v>
      </c>
    </row>
    <row r="10" spans="1:13" x14ac:dyDescent="0.25">
      <c r="A10" t="s">
        <v>376</v>
      </c>
      <c r="B10">
        <v>150</v>
      </c>
      <c r="C10">
        <v>12</v>
      </c>
      <c r="D10" t="s">
        <v>375</v>
      </c>
      <c r="E10" t="s">
        <v>373</v>
      </c>
      <c r="F10" s="29">
        <v>799000</v>
      </c>
      <c r="G10" t="s">
        <v>88</v>
      </c>
      <c r="M10">
        <f>21.5*3</f>
        <v>64.5</v>
      </c>
    </row>
    <row r="11" spans="1:13" x14ac:dyDescent="0.25">
      <c r="A11" t="s">
        <v>377</v>
      </c>
      <c r="B11">
        <v>200</v>
      </c>
      <c r="C11">
        <v>12</v>
      </c>
      <c r="D11" t="s">
        <v>367</v>
      </c>
      <c r="E11" t="s">
        <v>373</v>
      </c>
      <c r="F11" s="29">
        <v>1218000</v>
      </c>
      <c r="G11" t="s">
        <v>88</v>
      </c>
    </row>
    <row r="12" spans="1:13" x14ac:dyDescent="0.25">
      <c r="A12" t="s">
        <v>378</v>
      </c>
      <c r="B12">
        <v>55</v>
      </c>
      <c r="C12">
        <v>12</v>
      </c>
      <c r="D12" t="s">
        <v>367</v>
      </c>
      <c r="E12" t="s">
        <v>373</v>
      </c>
      <c r="F12" s="29">
        <v>369000</v>
      </c>
      <c r="G12" t="s">
        <v>88</v>
      </c>
    </row>
    <row r="13" spans="1:13" x14ac:dyDescent="0.25">
      <c r="A13" t="s">
        <v>388</v>
      </c>
      <c r="B13">
        <v>120</v>
      </c>
      <c r="C13">
        <v>12</v>
      </c>
      <c r="D13" t="s">
        <v>367</v>
      </c>
      <c r="E13" t="s">
        <v>371</v>
      </c>
      <c r="F13" s="29">
        <v>784043</v>
      </c>
      <c r="G13" t="s">
        <v>91</v>
      </c>
    </row>
    <row r="14" spans="1:13" x14ac:dyDescent="0.25">
      <c r="A14" t="s">
        <v>420</v>
      </c>
      <c r="B14">
        <v>150</v>
      </c>
      <c r="C14">
        <v>12</v>
      </c>
      <c r="D14" t="s">
        <v>367</v>
      </c>
      <c r="E14" t="s">
        <v>371</v>
      </c>
      <c r="F14" s="29">
        <v>1023137</v>
      </c>
      <c r="G14" t="s">
        <v>91</v>
      </c>
    </row>
    <row r="15" spans="1:13" x14ac:dyDescent="0.25">
      <c r="A15" t="s">
        <v>389</v>
      </c>
      <c r="B15">
        <v>200</v>
      </c>
      <c r="C15">
        <v>12</v>
      </c>
      <c r="D15" t="s">
        <v>367</v>
      </c>
      <c r="E15" t="s">
        <v>371</v>
      </c>
      <c r="F15" s="29">
        <v>1449634</v>
      </c>
      <c r="G15" t="s">
        <v>91</v>
      </c>
    </row>
    <row r="16" spans="1:13" x14ac:dyDescent="0.25">
      <c r="A16" t="s">
        <v>421</v>
      </c>
      <c r="B16">
        <v>250</v>
      </c>
      <c r="C16">
        <v>12</v>
      </c>
      <c r="D16" t="s">
        <v>367</v>
      </c>
      <c r="E16" t="s">
        <v>371</v>
      </c>
      <c r="F16" s="29">
        <v>1618466</v>
      </c>
      <c r="G16" t="s">
        <v>91</v>
      </c>
      <c r="H16">
        <v>52.2</v>
      </c>
      <c r="I16">
        <v>24</v>
      </c>
      <c r="J16">
        <v>21.8</v>
      </c>
      <c r="K16">
        <v>58</v>
      </c>
    </row>
    <row r="17" spans="1:7" x14ac:dyDescent="0.25">
      <c r="A17" t="s">
        <v>423</v>
      </c>
      <c r="B17">
        <v>100</v>
      </c>
      <c r="C17">
        <v>48</v>
      </c>
      <c r="D17" t="s">
        <v>366</v>
      </c>
      <c r="E17" t="s">
        <v>370</v>
      </c>
      <c r="F17" s="29">
        <v>6201681</v>
      </c>
      <c r="G17" t="s">
        <v>91</v>
      </c>
    </row>
    <row r="18" spans="1:7" x14ac:dyDescent="0.25">
      <c r="A18" t="s">
        <v>390</v>
      </c>
      <c r="B18">
        <v>200</v>
      </c>
      <c r="C18">
        <v>12.8</v>
      </c>
      <c r="D18" t="s">
        <v>374</v>
      </c>
      <c r="E18" t="s">
        <v>370</v>
      </c>
      <c r="F18" s="29">
        <v>4459008</v>
      </c>
      <c r="G18" t="s">
        <v>91</v>
      </c>
    </row>
    <row r="19" spans="1:7" x14ac:dyDescent="0.25">
      <c r="A19" t="s">
        <v>391</v>
      </c>
      <c r="B19">
        <v>100</v>
      </c>
      <c r="C19">
        <v>12.8</v>
      </c>
      <c r="D19" t="s">
        <v>374</v>
      </c>
      <c r="E19" t="s">
        <v>370</v>
      </c>
      <c r="F19" s="29">
        <v>2234672</v>
      </c>
      <c r="G19" t="s">
        <v>91</v>
      </c>
    </row>
    <row r="20" spans="1:7" x14ac:dyDescent="0.25">
      <c r="A20" t="s">
        <v>380</v>
      </c>
      <c r="B20">
        <v>100</v>
      </c>
      <c r="C20">
        <v>12.8</v>
      </c>
      <c r="D20" t="s">
        <v>381</v>
      </c>
      <c r="E20" t="s">
        <v>370</v>
      </c>
      <c r="F20" s="29">
        <v>1716000</v>
      </c>
      <c r="G20" t="s">
        <v>88</v>
      </c>
    </row>
    <row r="21" spans="1:7" x14ac:dyDescent="0.25">
      <c r="A21" t="s">
        <v>363</v>
      </c>
      <c r="B21">
        <v>200</v>
      </c>
      <c r="C21">
        <v>12.8</v>
      </c>
      <c r="D21" t="s">
        <v>381</v>
      </c>
      <c r="E21" t="s">
        <v>370</v>
      </c>
      <c r="F21" s="29">
        <v>3290000</v>
      </c>
      <c r="G21" t="s">
        <v>88</v>
      </c>
    </row>
    <row r="22" spans="1:7" x14ac:dyDescent="0.25">
      <c r="A22" t="s">
        <v>422</v>
      </c>
      <c r="B22">
        <v>50</v>
      </c>
      <c r="C22">
        <v>48</v>
      </c>
      <c r="D22" t="s">
        <v>366</v>
      </c>
      <c r="E22" t="s">
        <v>372</v>
      </c>
      <c r="F22" s="29">
        <v>4049181</v>
      </c>
      <c r="G22" t="s">
        <v>364</v>
      </c>
    </row>
    <row r="23" spans="1:7" x14ac:dyDescent="0.25">
      <c r="A23" t="s">
        <v>424</v>
      </c>
      <c r="B23">
        <v>700</v>
      </c>
      <c r="C23">
        <v>2</v>
      </c>
      <c r="D23" t="s">
        <v>425</v>
      </c>
      <c r="E23" t="s">
        <v>426</v>
      </c>
      <c r="F23" s="29">
        <v>500000</v>
      </c>
      <c r="G23" t="s">
        <v>88</v>
      </c>
    </row>
    <row r="24" spans="1:7" x14ac:dyDescent="0.25">
      <c r="F24" s="29"/>
    </row>
    <row r="25" spans="1:7" x14ac:dyDescent="0.25">
      <c r="F25" s="29"/>
    </row>
    <row r="26" spans="1:7" x14ac:dyDescent="0.25">
      <c r="F26" s="29"/>
    </row>
    <row r="27" spans="1:7" x14ac:dyDescent="0.25">
      <c r="F27" s="29"/>
    </row>
    <row r="28" spans="1:7" x14ac:dyDescent="0.25">
      <c r="F28" s="29"/>
    </row>
    <row r="29" spans="1:7" x14ac:dyDescent="0.25">
      <c r="F29" s="29"/>
    </row>
    <row r="30" spans="1:7" x14ac:dyDescent="0.25">
      <c r="F30" s="29"/>
    </row>
    <row r="31" spans="1:7" x14ac:dyDescent="0.25">
      <c r="F31" s="29"/>
    </row>
    <row r="32" spans="1:7" x14ac:dyDescent="0.25">
      <c r="F32" s="29"/>
    </row>
    <row r="33" spans="6:6" x14ac:dyDescent="0.25">
      <c r="F33" s="29"/>
    </row>
    <row r="34" spans="6:6" x14ac:dyDescent="0.25">
      <c r="F34" s="29"/>
    </row>
    <row r="35" spans="6:6" x14ac:dyDescent="0.25">
      <c r="F35" s="29"/>
    </row>
    <row r="36" spans="6:6" x14ac:dyDescent="0.25">
      <c r="F36" s="29"/>
    </row>
    <row r="37" spans="6:6" x14ac:dyDescent="0.25">
      <c r="F37" s="29"/>
    </row>
    <row r="38" spans="6:6" x14ac:dyDescent="0.25">
      <c r="F38" s="29"/>
    </row>
    <row r="39" spans="6:6" x14ac:dyDescent="0.25">
      <c r="F39" s="29"/>
    </row>
    <row r="40" spans="6:6" x14ac:dyDescent="0.25">
      <c r="F40" s="29"/>
    </row>
    <row r="41" spans="6:6" x14ac:dyDescent="0.25">
      <c r="F41" s="29"/>
    </row>
    <row r="42" spans="6:6" x14ac:dyDescent="0.25">
      <c r="F42" s="29"/>
    </row>
    <row r="43" spans="6:6" x14ac:dyDescent="0.25">
      <c r="F43" s="29"/>
    </row>
    <row r="44" spans="6:6" x14ac:dyDescent="0.25">
      <c r="F44" s="29"/>
    </row>
    <row r="45" spans="6:6" x14ac:dyDescent="0.25">
      <c r="F45" s="29"/>
    </row>
    <row r="46" spans="6:6" x14ac:dyDescent="0.25">
      <c r="F46" s="29"/>
    </row>
    <row r="47" spans="6:6" x14ac:dyDescent="0.25">
      <c r="F47" s="29"/>
    </row>
    <row r="48" spans="6:6" x14ac:dyDescent="0.25">
      <c r="F48" s="29"/>
    </row>
    <row r="49" spans="6:6" x14ac:dyDescent="0.25">
      <c r="F49" s="29"/>
    </row>
    <row r="50" spans="6:6" x14ac:dyDescent="0.25">
      <c r="F50" s="29"/>
    </row>
    <row r="51" spans="6:6" x14ac:dyDescent="0.25">
      <c r="F51" s="29"/>
    </row>
    <row r="52" spans="6:6" x14ac:dyDescent="0.25">
      <c r="F52" s="29"/>
    </row>
    <row r="53" spans="6:6" x14ac:dyDescent="0.25">
      <c r="F53" s="29"/>
    </row>
    <row r="54" spans="6:6" x14ac:dyDescent="0.25">
      <c r="F54" s="29"/>
    </row>
    <row r="55" spans="6:6" x14ac:dyDescent="0.25">
      <c r="F55" s="29"/>
    </row>
    <row r="56" spans="6:6" x14ac:dyDescent="0.25">
      <c r="F56" s="29"/>
    </row>
    <row r="57" spans="6:6" x14ac:dyDescent="0.25">
      <c r="F57" s="29"/>
    </row>
    <row r="58" spans="6:6" x14ac:dyDescent="0.25">
      <c r="F58" s="29"/>
    </row>
    <row r="59" spans="6:6" x14ac:dyDescent="0.25">
      <c r="F59" s="29"/>
    </row>
    <row r="60" spans="6:6" x14ac:dyDescent="0.25">
      <c r="F60" s="2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8"/>
  <sheetViews>
    <sheetView workbookViewId="0">
      <selection activeCell="A8" sqref="A8"/>
    </sheetView>
  </sheetViews>
  <sheetFormatPr baseColWidth="10" defaultColWidth="9.140625" defaultRowHeight="15" x14ac:dyDescent="0.25"/>
  <cols>
    <col min="1" max="1" width="61.42578125" bestFit="1" customWidth="1"/>
    <col min="2" max="2" width="15.140625" customWidth="1"/>
    <col min="3" max="3" width="14" bestFit="1" customWidth="1"/>
    <col min="4" max="4" width="14.7109375" bestFit="1" customWidth="1"/>
    <col min="5" max="5" width="21.7109375" bestFit="1" customWidth="1"/>
    <col min="6" max="7" width="21.7109375" customWidth="1"/>
    <col min="8" max="8" width="12.7109375" bestFit="1" customWidth="1"/>
    <col min="9" max="10" width="12.28515625" bestFit="1" customWidth="1"/>
    <col min="12" max="13" width="9.85546875" bestFit="1" customWidth="1"/>
  </cols>
  <sheetData>
    <row r="1" spans="1:15" x14ac:dyDescent="0.25">
      <c r="A1" t="s">
        <v>2</v>
      </c>
      <c r="B1" t="s">
        <v>556</v>
      </c>
      <c r="C1" t="s">
        <v>102</v>
      </c>
      <c r="D1" t="s">
        <v>105</v>
      </c>
      <c r="E1" t="s">
        <v>486</v>
      </c>
      <c r="F1" t="s">
        <v>558</v>
      </c>
      <c r="G1" t="s">
        <v>559</v>
      </c>
      <c r="H1" t="s">
        <v>132</v>
      </c>
      <c r="I1" t="s">
        <v>133</v>
      </c>
      <c r="J1" t="s">
        <v>134</v>
      </c>
      <c r="K1" t="s">
        <v>115</v>
      </c>
      <c r="L1" t="s">
        <v>9</v>
      </c>
      <c r="M1" t="s">
        <v>131</v>
      </c>
      <c r="N1" t="s">
        <v>487</v>
      </c>
      <c r="O1" t="s">
        <v>87</v>
      </c>
    </row>
    <row r="2" spans="1:15" x14ac:dyDescent="0.25">
      <c r="A2" t="s">
        <v>98</v>
      </c>
      <c r="B2" t="s">
        <v>116</v>
      </c>
      <c r="C2" t="s">
        <v>484</v>
      </c>
      <c r="D2" s="29">
        <v>69765</v>
      </c>
      <c r="E2">
        <v>10</v>
      </c>
      <c r="F2">
        <v>55</v>
      </c>
      <c r="G2">
        <v>35</v>
      </c>
      <c r="H2">
        <v>12</v>
      </c>
      <c r="I2">
        <v>24</v>
      </c>
      <c r="K2" t="s">
        <v>116</v>
      </c>
      <c r="L2" s="30">
        <v>0.7</v>
      </c>
      <c r="M2" t="s">
        <v>91</v>
      </c>
      <c r="N2">
        <v>0.1</v>
      </c>
    </row>
    <row r="3" spans="1:15" x14ac:dyDescent="0.25">
      <c r="A3" t="s">
        <v>97</v>
      </c>
      <c r="B3" t="s">
        <v>116</v>
      </c>
      <c r="C3" t="s">
        <v>113</v>
      </c>
      <c r="D3" s="29">
        <v>106532</v>
      </c>
      <c r="E3">
        <v>20</v>
      </c>
      <c r="F3">
        <v>55</v>
      </c>
      <c r="G3">
        <v>35</v>
      </c>
      <c r="H3">
        <v>12</v>
      </c>
      <c r="I3">
        <v>24</v>
      </c>
      <c r="K3" t="s">
        <v>116</v>
      </c>
      <c r="L3" s="30">
        <v>0.7</v>
      </c>
      <c r="M3" t="s">
        <v>91</v>
      </c>
      <c r="N3">
        <v>0.16</v>
      </c>
    </row>
    <row r="4" spans="1:15" x14ac:dyDescent="0.25">
      <c r="A4" t="s">
        <v>99</v>
      </c>
      <c r="B4" t="s">
        <v>117</v>
      </c>
      <c r="C4" t="s">
        <v>113</v>
      </c>
      <c r="D4" s="29">
        <v>324640</v>
      </c>
      <c r="E4">
        <v>20</v>
      </c>
      <c r="F4">
        <v>100</v>
      </c>
      <c r="H4">
        <v>12</v>
      </c>
      <c r="I4">
        <v>24</v>
      </c>
      <c r="K4" t="s">
        <v>117</v>
      </c>
      <c r="L4" s="30">
        <v>0.95</v>
      </c>
      <c r="M4" t="s">
        <v>91</v>
      </c>
      <c r="N4">
        <v>3</v>
      </c>
    </row>
    <row r="5" spans="1:15" x14ac:dyDescent="0.25">
      <c r="A5" t="s">
        <v>100</v>
      </c>
      <c r="B5" t="s">
        <v>117</v>
      </c>
      <c r="C5" t="s">
        <v>113</v>
      </c>
      <c r="D5" s="29">
        <v>516731</v>
      </c>
      <c r="E5">
        <v>30</v>
      </c>
      <c r="F5">
        <v>100</v>
      </c>
      <c r="H5">
        <v>12</v>
      </c>
      <c r="I5">
        <v>24</v>
      </c>
      <c r="K5" t="s">
        <v>117</v>
      </c>
      <c r="L5" s="30">
        <v>0.95</v>
      </c>
      <c r="M5" t="s">
        <v>91</v>
      </c>
      <c r="N5">
        <v>3</v>
      </c>
    </row>
    <row r="6" spans="1:15" x14ac:dyDescent="0.25">
      <c r="A6" t="s">
        <v>101</v>
      </c>
      <c r="B6" t="s">
        <v>117</v>
      </c>
      <c r="C6" t="s">
        <v>113</v>
      </c>
      <c r="D6" s="29">
        <v>602768</v>
      </c>
      <c r="E6">
        <v>40</v>
      </c>
      <c r="F6">
        <v>100</v>
      </c>
      <c r="H6">
        <v>12</v>
      </c>
      <c r="I6">
        <v>24</v>
      </c>
      <c r="K6" t="s">
        <v>117</v>
      </c>
      <c r="L6" s="30">
        <v>0.95</v>
      </c>
      <c r="M6" t="s">
        <v>91</v>
      </c>
      <c r="N6">
        <v>3</v>
      </c>
    </row>
    <row r="7" spans="1:15" x14ac:dyDescent="0.25">
      <c r="A7" t="s">
        <v>103</v>
      </c>
      <c r="B7" t="s">
        <v>117</v>
      </c>
      <c r="C7" t="s">
        <v>113</v>
      </c>
      <c r="D7" s="29">
        <v>1272061</v>
      </c>
      <c r="E7">
        <v>60</v>
      </c>
      <c r="F7">
        <v>150</v>
      </c>
      <c r="H7">
        <v>12</v>
      </c>
      <c r="I7">
        <v>24</v>
      </c>
      <c r="J7">
        <v>48</v>
      </c>
      <c r="K7" t="s">
        <v>117</v>
      </c>
      <c r="L7" s="30"/>
      <c r="M7" t="s">
        <v>91</v>
      </c>
      <c r="N7">
        <v>3</v>
      </c>
    </row>
    <row r="8" spans="1:15" x14ac:dyDescent="0.25">
      <c r="A8" t="s">
        <v>104</v>
      </c>
      <c r="B8" t="s">
        <v>117</v>
      </c>
      <c r="C8" t="s">
        <v>113</v>
      </c>
      <c r="D8" s="29">
        <v>2394061</v>
      </c>
      <c r="E8">
        <v>100</v>
      </c>
      <c r="F8">
        <v>150</v>
      </c>
      <c r="H8">
        <v>12</v>
      </c>
      <c r="I8">
        <v>24</v>
      </c>
      <c r="J8">
        <v>48</v>
      </c>
      <c r="K8" t="s">
        <v>117</v>
      </c>
      <c r="L8" s="30"/>
      <c r="M8" t="s">
        <v>91</v>
      </c>
      <c r="N8">
        <v>3</v>
      </c>
    </row>
    <row r="9" spans="1:15" x14ac:dyDescent="0.25">
      <c r="A9" t="s">
        <v>106</v>
      </c>
      <c r="B9" t="s">
        <v>117</v>
      </c>
      <c r="C9" t="s">
        <v>114</v>
      </c>
      <c r="D9" s="29">
        <v>237117</v>
      </c>
      <c r="E9">
        <v>10</v>
      </c>
      <c r="F9">
        <v>75</v>
      </c>
      <c r="H9">
        <v>12</v>
      </c>
      <c r="I9">
        <v>24</v>
      </c>
      <c r="K9" t="s">
        <v>117</v>
      </c>
      <c r="L9" s="30"/>
      <c r="M9" t="s">
        <v>91</v>
      </c>
      <c r="N9">
        <v>3</v>
      </c>
    </row>
    <row r="10" spans="1:15" x14ac:dyDescent="0.25">
      <c r="A10" t="s">
        <v>107</v>
      </c>
      <c r="B10" t="s">
        <v>117</v>
      </c>
      <c r="C10" t="s">
        <v>114</v>
      </c>
      <c r="D10" s="29">
        <v>358156</v>
      </c>
      <c r="E10">
        <v>20</v>
      </c>
      <c r="F10">
        <v>75</v>
      </c>
      <c r="H10">
        <v>12</v>
      </c>
      <c r="I10">
        <v>24</v>
      </c>
      <c r="K10" t="s">
        <v>117</v>
      </c>
      <c r="L10" s="30"/>
      <c r="M10" t="s">
        <v>91</v>
      </c>
      <c r="N10">
        <v>3</v>
      </c>
    </row>
    <row r="11" spans="1:15" x14ac:dyDescent="0.25">
      <c r="A11" t="s">
        <v>108</v>
      </c>
      <c r="B11" t="s">
        <v>117</v>
      </c>
      <c r="C11" t="s">
        <v>114</v>
      </c>
      <c r="D11" s="29">
        <v>472701</v>
      </c>
      <c r="E11">
        <v>30</v>
      </c>
      <c r="F11">
        <v>75</v>
      </c>
      <c r="H11">
        <v>12</v>
      </c>
      <c r="I11">
        <v>24</v>
      </c>
      <c r="K11" t="s">
        <v>117</v>
      </c>
      <c r="L11" s="30"/>
      <c r="M11" t="s">
        <v>91</v>
      </c>
      <c r="N11">
        <v>3</v>
      </c>
    </row>
    <row r="12" spans="1:15" x14ac:dyDescent="0.25">
      <c r="A12" t="s">
        <v>109</v>
      </c>
      <c r="B12" t="s">
        <v>117</v>
      </c>
      <c r="C12" t="s">
        <v>114</v>
      </c>
      <c r="D12" s="29">
        <v>324141</v>
      </c>
      <c r="E12">
        <v>10</v>
      </c>
      <c r="F12">
        <v>150</v>
      </c>
      <c r="H12">
        <v>12</v>
      </c>
      <c r="I12">
        <v>24</v>
      </c>
      <c r="K12" t="s">
        <v>117</v>
      </c>
      <c r="L12" s="30"/>
      <c r="M12" t="s">
        <v>91</v>
      </c>
      <c r="N12">
        <v>3</v>
      </c>
    </row>
    <row r="13" spans="1:15" x14ac:dyDescent="0.25">
      <c r="A13" t="s">
        <v>110</v>
      </c>
      <c r="B13" t="s">
        <v>117</v>
      </c>
      <c r="C13" t="s">
        <v>114</v>
      </c>
      <c r="D13" s="29">
        <v>485688</v>
      </c>
      <c r="E13">
        <v>20</v>
      </c>
      <c r="F13">
        <v>150</v>
      </c>
      <c r="H13">
        <v>12</v>
      </c>
      <c r="I13">
        <v>24</v>
      </c>
      <c r="K13" t="s">
        <v>117</v>
      </c>
      <c r="L13" s="30"/>
      <c r="M13" t="s">
        <v>91</v>
      </c>
      <c r="N13">
        <v>3</v>
      </c>
    </row>
    <row r="14" spans="1:15" x14ac:dyDescent="0.25">
      <c r="A14" t="s">
        <v>111</v>
      </c>
      <c r="B14" t="s">
        <v>117</v>
      </c>
      <c r="C14" t="s">
        <v>114</v>
      </c>
      <c r="D14" s="29">
        <v>1017945</v>
      </c>
      <c r="E14">
        <v>40</v>
      </c>
      <c r="F14">
        <v>150</v>
      </c>
      <c r="H14">
        <v>12</v>
      </c>
      <c r="I14">
        <v>24</v>
      </c>
      <c r="K14" t="s">
        <v>117</v>
      </c>
      <c r="L14" s="30"/>
      <c r="M14" t="s">
        <v>91</v>
      </c>
      <c r="N14">
        <v>3</v>
      </c>
    </row>
    <row r="15" spans="1:15" x14ac:dyDescent="0.25">
      <c r="A15" t="s">
        <v>112</v>
      </c>
      <c r="B15" t="s">
        <v>117</v>
      </c>
      <c r="C15" t="s">
        <v>114</v>
      </c>
      <c r="D15" s="29">
        <v>1042000</v>
      </c>
      <c r="E15">
        <v>40</v>
      </c>
      <c r="F15">
        <v>150</v>
      </c>
      <c r="H15">
        <v>12</v>
      </c>
      <c r="I15">
        <v>24</v>
      </c>
      <c r="J15">
        <v>48</v>
      </c>
      <c r="K15" t="s">
        <v>117</v>
      </c>
      <c r="L15" s="30"/>
      <c r="M15" t="s">
        <v>91</v>
      </c>
      <c r="N15">
        <v>3</v>
      </c>
    </row>
    <row r="16" spans="1:15" x14ac:dyDescent="0.25">
      <c r="A16" t="s">
        <v>118</v>
      </c>
      <c r="B16" t="s">
        <v>116</v>
      </c>
      <c r="C16" t="s">
        <v>120</v>
      </c>
      <c r="D16" s="29">
        <v>101299</v>
      </c>
      <c r="E16">
        <v>5</v>
      </c>
      <c r="H16">
        <v>12</v>
      </c>
      <c r="I16">
        <v>24</v>
      </c>
      <c r="K16" t="s">
        <v>116</v>
      </c>
      <c r="L16" s="30"/>
      <c r="M16" t="s">
        <v>91</v>
      </c>
      <c r="N16">
        <v>3</v>
      </c>
    </row>
    <row r="17" spans="1:14" x14ac:dyDescent="0.25">
      <c r="A17" t="s">
        <v>119</v>
      </c>
      <c r="B17" t="s">
        <v>116</v>
      </c>
      <c r="C17" t="s">
        <v>120</v>
      </c>
      <c r="D17" s="29">
        <v>150665</v>
      </c>
      <c r="E17">
        <v>10</v>
      </c>
      <c r="H17">
        <v>12</v>
      </c>
      <c r="I17">
        <v>24</v>
      </c>
      <c r="K17" t="s">
        <v>116</v>
      </c>
      <c r="L17" s="30"/>
      <c r="M17" t="s">
        <v>91</v>
      </c>
      <c r="N17">
        <v>3</v>
      </c>
    </row>
    <row r="18" spans="1:14" x14ac:dyDescent="0.25">
      <c r="A18" t="s">
        <v>121</v>
      </c>
      <c r="B18" t="s">
        <v>117</v>
      </c>
      <c r="C18" t="s">
        <v>120</v>
      </c>
      <c r="D18" s="29">
        <v>403818</v>
      </c>
      <c r="E18">
        <v>15</v>
      </c>
      <c r="F18">
        <v>75</v>
      </c>
      <c r="H18">
        <v>12</v>
      </c>
      <c r="I18">
        <v>24</v>
      </c>
      <c r="K18" t="s">
        <v>117</v>
      </c>
      <c r="L18" s="30"/>
      <c r="M18" t="s">
        <v>91</v>
      </c>
      <c r="N18">
        <v>3</v>
      </c>
    </row>
    <row r="19" spans="1:14" x14ac:dyDescent="0.25">
      <c r="A19" t="s">
        <v>122</v>
      </c>
      <c r="B19" t="s">
        <v>117</v>
      </c>
      <c r="C19" t="s">
        <v>120</v>
      </c>
      <c r="D19" s="29">
        <v>445590</v>
      </c>
      <c r="E19">
        <v>15</v>
      </c>
      <c r="F19">
        <v>75</v>
      </c>
      <c r="H19">
        <v>12</v>
      </c>
      <c r="I19">
        <v>24</v>
      </c>
      <c r="K19" t="s">
        <v>117</v>
      </c>
      <c r="L19" s="30"/>
      <c r="M19" t="s">
        <v>91</v>
      </c>
      <c r="N19">
        <v>3</v>
      </c>
    </row>
    <row r="20" spans="1:14" x14ac:dyDescent="0.25">
      <c r="A20" t="s">
        <v>123</v>
      </c>
      <c r="B20" t="s">
        <v>117</v>
      </c>
      <c r="C20" t="s">
        <v>120</v>
      </c>
      <c r="D20" s="29">
        <v>537345</v>
      </c>
      <c r="E20">
        <v>15</v>
      </c>
      <c r="F20">
        <v>100</v>
      </c>
      <c r="H20">
        <v>12</v>
      </c>
      <c r="I20">
        <v>24</v>
      </c>
      <c r="K20" t="s">
        <v>117</v>
      </c>
      <c r="L20" s="30"/>
      <c r="M20" t="s">
        <v>91</v>
      </c>
      <c r="N20">
        <v>3</v>
      </c>
    </row>
    <row r="21" spans="1:14" x14ac:dyDescent="0.25">
      <c r="A21" t="s">
        <v>124</v>
      </c>
      <c r="B21" t="s">
        <v>117</v>
      </c>
      <c r="C21" t="s">
        <v>120</v>
      </c>
      <c r="D21" s="29">
        <v>956961</v>
      </c>
      <c r="E21">
        <v>30</v>
      </c>
      <c r="F21">
        <v>100</v>
      </c>
      <c r="H21">
        <v>12</v>
      </c>
      <c r="I21">
        <v>24</v>
      </c>
      <c r="K21" t="s">
        <v>117</v>
      </c>
      <c r="L21" s="30"/>
      <c r="M21" t="s">
        <v>91</v>
      </c>
      <c r="N21">
        <v>3</v>
      </c>
    </row>
    <row r="22" spans="1:14" x14ac:dyDescent="0.25">
      <c r="A22" t="s">
        <v>125</v>
      </c>
      <c r="B22" t="s">
        <v>117</v>
      </c>
      <c r="C22" t="s">
        <v>120</v>
      </c>
      <c r="D22" s="29">
        <v>1415961</v>
      </c>
      <c r="E22">
        <v>35</v>
      </c>
      <c r="F22">
        <v>150</v>
      </c>
      <c r="H22">
        <v>12</v>
      </c>
      <c r="I22">
        <v>24</v>
      </c>
      <c r="J22">
        <v>48</v>
      </c>
      <c r="K22" t="s">
        <v>117</v>
      </c>
      <c r="L22" s="30"/>
      <c r="M22" t="s">
        <v>91</v>
      </c>
      <c r="N22">
        <v>3</v>
      </c>
    </row>
    <row r="23" spans="1:14" x14ac:dyDescent="0.25">
      <c r="A23" t="s">
        <v>126</v>
      </c>
      <c r="B23" t="s">
        <v>117</v>
      </c>
      <c r="C23" t="s">
        <v>120</v>
      </c>
      <c r="D23" s="29">
        <v>2104483</v>
      </c>
      <c r="E23">
        <v>45</v>
      </c>
      <c r="F23">
        <v>150</v>
      </c>
      <c r="H23">
        <v>12</v>
      </c>
      <c r="I23">
        <v>24</v>
      </c>
      <c r="J23">
        <v>48</v>
      </c>
      <c r="K23" t="s">
        <v>117</v>
      </c>
      <c r="L23" s="30"/>
      <c r="M23" t="s">
        <v>91</v>
      </c>
      <c r="N23">
        <v>3</v>
      </c>
    </row>
    <row r="24" spans="1:14" x14ac:dyDescent="0.25">
      <c r="A24" t="s">
        <v>127</v>
      </c>
      <c r="B24" t="s">
        <v>117</v>
      </c>
      <c r="C24" t="s">
        <v>120</v>
      </c>
      <c r="D24" s="29">
        <v>1415961</v>
      </c>
      <c r="E24">
        <v>50</v>
      </c>
      <c r="F24">
        <v>100</v>
      </c>
      <c r="H24">
        <v>12</v>
      </c>
      <c r="I24">
        <v>24</v>
      </c>
      <c r="K24" t="s">
        <v>117</v>
      </c>
      <c r="L24" s="30"/>
      <c r="M24" t="s">
        <v>91</v>
      </c>
      <c r="N24">
        <v>3</v>
      </c>
    </row>
    <row r="25" spans="1:14" x14ac:dyDescent="0.25">
      <c r="A25" t="s">
        <v>128</v>
      </c>
      <c r="B25" t="s">
        <v>117</v>
      </c>
      <c r="C25" t="s">
        <v>120</v>
      </c>
      <c r="D25" s="29">
        <v>2346948</v>
      </c>
      <c r="E25">
        <v>60</v>
      </c>
      <c r="F25">
        <v>150</v>
      </c>
      <c r="H25">
        <v>12</v>
      </c>
      <c r="I25">
        <v>24</v>
      </c>
      <c r="J25">
        <v>48</v>
      </c>
      <c r="K25" t="s">
        <v>117</v>
      </c>
      <c r="L25" s="30"/>
      <c r="M25" t="s">
        <v>91</v>
      </c>
      <c r="N25">
        <v>3</v>
      </c>
    </row>
    <row r="26" spans="1:14" x14ac:dyDescent="0.25">
      <c r="A26" t="s">
        <v>129</v>
      </c>
      <c r="B26" t="s">
        <v>117</v>
      </c>
      <c r="C26" t="s">
        <v>120</v>
      </c>
      <c r="D26" s="29">
        <v>3264948</v>
      </c>
      <c r="E26">
        <v>85</v>
      </c>
      <c r="F26">
        <v>150</v>
      </c>
      <c r="H26">
        <v>12</v>
      </c>
      <c r="I26">
        <v>24</v>
      </c>
      <c r="J26">
        <v>48</v>
      </c>
      <c r="K26" t="s">
        <v>117</v>
      </c>
      <c r="L26" s="30"/>
      <c r="M26" t="s">
        <v>91</v>
      </c>
      <c r="N26">
        <v>3</v>
      </c>
    </row>
    <row r="27" spans="1:14" x14ac:dyDescent="0.25">
      <c r="A27" t="s">
        <v>130</v>
      </c>
      <c r="B27" t="s">
        <v>117</v>
      </c>
      <c r="C27" t="s">
        <v>120</v>
      </c>
      <c r="D27" s="29">
        <v>3743429</v>
      </c>
      <c r="E27">
        <v>100</v>
      </c>
      <c r="F27">
        <v>150</v>
      </c>
      <c r="H27">
        <v>12</v>
      </c>
      <c r="I27">
        <v>24</v>
      </c>
      <c r="J27">
        <v>48</v>
      </c>
      <c r="K27" t="s">
        <v>117</v>
      </c>
      <c r="L27" s="30"/>
      <c r="M27" t="s">
        <v>91</v>
      </c>
      <c r="N27">
        <v>3</v>
      </c>
    </row>
    <row r="28" spans="1:14" x14ac:dyDescent="0.25">
      <c r="A28" t="s">
        <v>483</v>
      </c>
      <c r="B28" t="s">
        <v>117</v>
      </c>
      <c r="C28" t="s">
        <v>484</v>
      </c>
      <c r="D28" s="29">
        <v>379000</v>
      </c>
      <c r="E28">
        <v>20</v>
      </c>
      <c r="F28">
        <v>100</v>
      </c>
      <c r="H28">
        <v>12</v>
      </c>
      <c r="I28">
        <v>24</v>
      </c>
      <c r="K28" t="s">
        <v>117</v>
      </c>
      <c r="M28" t="s">
        <v>485</v>
      </c>
      <c r="N28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29"/>
  <sheetViews>
    <sheetView topLeftCell="A3" zoomScale="85" zoomScaleNormal="85" workbookViewId="0">
      <selection activeCell="D29" sqref="D29:L29"/>
    </sheetView>
  </sheetViews>
  <sheetFormatPr baseColWidth="10" defaultColWidth="9.140625" defaultRowHeight="15" x14ac:dyDescent="0.25"/>
  <cols>
    <col min="1" max="1" width="47.42578125" bestFit="1" customWidth="1"/>
    <col min="2" max="2" width="4" bestFit="1" customWidth="1"/>
    <col min="3" max="3" width="15.5703125" bestFit="1" customWidth="1"/>
    <col min="4" max="4" width="6" bestFit="1" customWidth="1"/>
    <col min="5" max="5" width="5" bestFit="1" customWidth="1"/>
    <col min="6" max="7" width="6" bestFit="1" customWidth="1"/>
    <col min="8" max="8" width="15.28515625" bestFit="1" customWidth="1"/>
    <col min="9" max="9" width="6" bestFit="1" customWidth="1"/>
    <col min="10" max="10" width="6.7109375" bestFit="1" customWidth="1"/>
    <col min="11" max="11" width="12.42578125" bestFit="1" customWidth="1"/>
    <col min="12" max="12" width="13.42578125" customWidth="1"/>
    <col min="13" max="13" width="13.140625" bestFit="1" customWidth="1"/>
    <col min="14" max="14" width="10.28515625" bestFit="1" customWidth="1"/>
    <col min="15" max="15" width="15.140625" bestFit="1" customWidth="1"/>
    <col min="18" max="18" width="15.28515625" bestFit="1" customWidth="1"/>
  </cols>
  <sheetData>
    <row r="1" spans="1:18" x14ac:dyDescent="0.25">
      <c r="A1" t="s">
        <v>54</v>
      </c>
      <c r="B1" t="s">
        <v>13</v>
      </c>
      <c r="C1" t="s">
        <v>72</v>
      </c>
      <c r="D1" t="s">
        <v>73</v>
      </c>
      <c r="E1" t="s">
        <v>74</v>
      </c>
      <c r="F1" t="s">
        <v>8</v>
      </c>
      <c r="G1" t="s">
        <v>30</v>
      </c>
      <c r="H1" t="s">
        <v>78</v>
      </c>
      <c r="I1" t="s">
        <v>489</v>
      </c>
      <c r="J1" t="s">
        <v>490</v>
      </c>
      <c r="K1" t="s">
        <v>550</v>
      </c>
      <c r="L1" t="s">
        <v>432</v>
      </c>
      <c r="M1" t="s">
        <v>77</v>
      </c>
      <c r="N1" t="s">
        <v>87</v>
      </c>
      <c r="O1" t="s">
        <v>87</v>
      </c>
    </row>
    <row r="2" spans="1:18" x14ac:dyDescent="0.25">
      <c r="A2" t="s">
        <v>75</v>
      </c>
      <c r="B2">
        <v>200</v>
      </c>
      <c r="C2" t="s">
        <v>76</v>
      </c>
      <c r="D2">
        <v>36.700000000000003</v>
      </c>
      <c r="E2">
        <v>5.45</v>
      </c>
      <c r="F2">
        <v>5.81</v>
      </c>
      <c r="G2">
        <v>44.5</v>
      </c>
      <c r="H2" t="s">
        <v>505</v>
      </c>
      <c r="I2">
        <f>_xlfn.NUMBERVALUE(MID(H2,1,4))</f>
        <v>1217</v>
      </c>
      <c r="J2">
        <f>_xlfn.NUMBERVALUE(MID(H2,6,4))</f>
        <v>995</v>
      </c>
      <c r="K2">
        <f>_xlfn.NUMBERVALUE(MID(H2,11,4))</f>
        <v>35</v>
      </c>
      <c r="L2">
        <v>13.5</v>
      </c>
      <c r="M2" s="28">
        <v>314000</v>
      </c>
      <c r="N2" t="s">
        <v>88</v>
      </c>
      <c r="O2" t="s">
        <v>520</v>
      </c>
      <c r="R2" t="s">
        <v>548</v>
      </c>
    </row>
    <row r="3" spans="1:18" x14ac:dyDescent="0.25">
      <c r="A3" s="41" t="s">
        <v>79</v>
      </c>
      <c r="B3" s="41">
        <v>335</v>
      </c>
      <c r="C3" s="41" t="s">
        <v>76</v>
      </c>
      <c r="D3" s="41">
        <v>38.85</v>
      </c>
      <c r="E3" s="41">
        <v>8.6199999999999992</v>
      </c>
      <c r="F3" s="41">
        <v>9.43</v>
      </c>
      <c r="G3" s="41">
        <v>46.84</v>
      </c>
      <c r="H3" s="41" t="s">
        <v>506</v>
      </c>
      <c r="I3">
        <f t="shared" ref="I3:I4" si="0">_xlfn.NUMBERVALUE(MID(H3,1,4))</f>
        <v>2000</v>
      </c>
      <c r="J3">
        <f t="shared" ref="J3:J4" si="1">_xlfn.NUMBERVALUE(MID(H3,6,4))</f>
        <v>992</v>
      </c>
      <c r="K3">
        <f t="shared" ref="K3:K4" si="2">_xlfn.NUMBERVALUE(MID(H3,11,4))</f>
        <v>40</v>
      </c>
      <c r="L3" s="41">
        <v>21</v>
      </c>
      <c r="M3" s="42">
        <v>478600</v>
      </c>
      <c r="N3" s="41" t="s">
        <v>88</v>
      </c>
      <c r="O3" t="s">
        <v>524</v>
      </c>
    </row>
    <row r="4" spans="1:18" x14ac:dyDescent="0.25">
      <c r="A4" t="s">
        <v>80</v>
      </c>
      <c r="B4">
        <v>370</v>
      </c>
      <c r="C4" t="s">
        <v>76</v>
      </c>
      <c r="D4">
        <v>39.630000000000003</v>
      </c>
      <c r="E4">
        <v>9.34</v>
      </c>
      <c r="F4">
        <v>9.69</v>
      </c>
      <c r="G4">
        <v>47.48</v>
      </c>
      <c r="H4" t="s">
        <v>507</v>
      </c>
      <c r="I4">
        <f t="shared" si="0"/>
        <v>1956</v>
      </c>
      <c r="J4">
        <f t="shared" si="1"/>
        <v>992</v>
      </c>
      <c r="K4">
        <f t="shared" si="2"/>
        <v>40</v>
      </c>
      <c r="L4">
        <v>21</v>
      </c>
      <c r="M4" s="28">
        <v>499000</v>
      </c>
      <c r="N4" t="s">
        <v>88</v>
      </c>
      <c r="O4" t="s">
        <v>524</v>
      </c>
    </row>
    <row r="5" spans="1:18" x14ac:dyDescent="0.25">
      <c r="A5" t="s">
        <v>543</v>
      </c>
      <c r="B5">
        <v>370</v>
      </c>
      <c r="C5" t="s">
        <v>333</v>
      </c>
      <c r="D5">
        <v>38.9</v>
      </c>
      <c r="E5">
        <v>9.52</v>
      </c>
      <c r="F5">
        <v>9.9</v>
      </c>
      <c r="G5">
        <v>47.5</v>
      </c>
      <c r="H5" t="s">
        <v>507</v>
      </c>
      <c r="I5">
        <f t="shared" ref="I5:I28" si="3">_xlfn.NUMBERVALUE(MID(H5,1,4))</f>
        <v>1956</v>
      </c>
      <c r="J5">
        <f t="shared" ref="J5:J28" si="4">_xlfn.NUMBERVALUE(MID(H5,6,4))</f>
        <v>992</v>
      </c>
      <c r="K5">
        <f t="shared" ref="K5:K28" si="5">_xlfn.NUMBERVALUE(MID(H5,11,4))</f>
        <v>40</v>
      </c>
      <c r="L5">
        <v>22</v>
      </c>
      <c r="M5" s="28">
        <v>405000</v>
      </c>
      <c r="N5" t="s">
        <v>431</v>
      </c>
      <c r="O5" t="s">
        <v>544</v>
      </c>
    </row>
    <row r="6" spans="1:18" x14ac:dyDescent="0.25">
      <c r="A6" t="s">
        <v>81</v>
      </c>
      <c r="B6">
        <v>390</v>
      </c>
      <c r="C6" t="s">
        <v>76</v>
      </c>
      <c r="D6">
        <v>41.1</v>
      </c>
      <c r="E6">
        <v>9.49</v>
      </c>
      <c r="F6">
        <v>10.119999999999999</v>
      </c>
      <c r="G6">
        <v>49.3</v>
      </c>
      <c r="H6" t="s">
        <v>508</v>
      </c>
      <c r="I6">
        <f t="shared" si="3"/>
        <v>2008</v>
      </c>
      <c r="J6">
        <f t="shared" si="4"/>
        <v>1002</v>
      </c>
      <c r="K6">
        <f t="shared" si="5"/>
        <v>40</v>
      </c>
      <c r="L6">
        <v>22.5</v>
      </c>
      <c r="M6" s="28">
        <v>573200</v>
      </c>
      <c r="N6" t="s">
        <v>88</v>
      </c>
      <c r="O6" t="s">
        <v>525</v>
      </c>
    </row>
    <row r="7" spans="1:18" x14ac:dyDescent="0.25">
      <c r="A7" t="s">
        <v>430</v>
      </c>
      <c r="B7">
        <v>400</v>
      </c>
      <c r="C7" t="s">
        <v>76</v>
      </c>
      <c r="D7">
        <v>41.7</v>
      </c>
      <c r="E7">
        <v>9.6</v>
      </c>
      <c r="F7">
        <v>10.36</v>
      </c>
      <c r="G7">
        <v>49.8</v>
      </c>
      <c r="H7" t="s">
        <v>536</v>
      </c>
      <c r="I7">
        <f t="shared" si="3"/>
        <v>1979</v>
      </c>
      <c r="J7">
        <f t="shared" si="4"/>
        <v>1002</v>
      </c>
      <c r="K7">
        <f t="shared" si="5"/>
        <v>40</v>
      </c>
      <c r="L7">
        <v>22.5</v>
      </c>
      <c r="M7" s="28">
        <v>448800</v>
      </c>
      <c r="N7" t="s">
        <v>431</v>
      </c>
      <c r="O7" t="s">
        <v>528</v>
      </c>
    </row>
    <row r="8" spans="1:18" x14ac:dyDescent="0.25">
      <c r="A8" t="s">
        <v>545</v>
      </c>
      <c r="B8">
        <v>400</v>
      </c>
      <c r="C8" t="s">
        <v>76</v>
      </c>
      <c r="D8">
        <v>41.7</v>
      </c>
      <c r="E8">
        <v>9.6</v>
      </c>
      <c r="F8">
        <v>10.36</v>
      </c>
      <c r="G8">
        <v>49.8</v>
      </c>
      <c r="H8" t="s">
        <v>536</v>
      </c>
      <c r="I8">
        <f t="shared" si="3"/>
        <v>1979</v>
      </c>
      <c r="J8">
        <f t="shared" si="4"/>
        <v>1002</v>
      </c>
      <c r="K8">
        <f t="shared" si="5"/>
        <v>40</v>
      </c>
      <c r="L8">
        <v>22.5</v>
      </c>
      <c r="M8" s="28">
        <v>448800</v>
      </c>
      <c r="N8" t="s">
        <v>431</v>
      </c>
      <c r="O8" t="s">
        <v>528</v>
      </c>
    </row>
    <row r="9" spans="1:18" ht="14.25" customHeight="1" x14ac:dyDescent="0.25">
      <c r="A9" t="s">
        <v>547</v>
      </c>
      <c r="B9">
        <v>400</v>
      </c>
      <c r="C9" t="s">
        <v>76</v>
      </c>
      <c r="D9">
        <v>39.92</v>
      </c>
      <c r="E9">
        <v>10.02</v>
      </c>
      <c r="F9">
        <v>10.4</v>
      </c>
      <c r="G9">
        <v>48.6</v>
      </c>
      <c r="H9" t="s">
        <v>551</v>
      </c>
      <c r="I9">
        <f t="shared" si="3"/>
        <v>1980</v>
      </c>
      <c r="J9">
        <f t="shared" si="4"/>
        <v>1002</v>
      </c>
      <c r="K9">
        <f t="shared" si="5"/>
        <v>40</v>
      </c>
      <c r="L9">
        <v>22.9</v>
      </c>
      <c r="M9" s="28">
        <v>486250</v>
      </c>
      <c r="N9" t="s">
        <v>431</v>
      </c>
      <c r="O9" t="s">
        <v>552</v>
      </c>
    </row>
    <row r="10" spans="1:18" x14ac:dyDescent="0.25">
      <c r="A10" t="s">
        <v>92</v>
      </c>
      <c r="B10">
        <v>405</v>
      </c>
      <c r="C10" t="s">
        <v>76</v>
      </c>
      <c r="D10">
        <v>40.799999999999997</v>
      </c>
      <c r="E10">
        <v>9.93</v>
      </c>
      <c r="F10">
        <v>50.1</v>
      </c>
      <c r="G10">
        <v>10.49</v>
      </c>
      <c r="H10" t="s">
        <v>539</v>
      </c>
      <c r="I10">
        <f t="shared" si="3"/>
        <v>2031</v>
      </c>
      <c r="J10">
        <f t="shared" si="4"/>
        <v>1011</v>
      </c>
      <c r="K10">
        <f t="shared" si="5"/>
        <v>30</v>
      </c>
      <c r="L10" s="54">
        <v>26.8</v>
      </c>
      <c r="M10" s="28">
        <v>623279</v>
      </c>
      <c r="N10" t="s">
        <v>88</v>
      </c>
      <c r="O10" t="s">
        <v>529</v>
      </c>
    </row>
    <row r="11" spans="1:18" x14ac:dyDescent="0.25">
      <c r="A11" t="s">
        <v>537</v>
      </c>
      <c r="B11">
        <v>410</v>
      </c>
      <c r="C11" t="s">
        <v>76</v>
      </c>
      <c r="D11">
        <v>44.5</v>
      </c>
      <c r="E11">
        <v>9.23</v>
      </c>
      <c r="F11">
        <v>9.6999999999999993</v>
      </c>
      <c r="G11">
        <v>53.6</v>
      </c>
      <c r="H11" t="s">
        <v>538</v>
      </c>
      <c r="I11">
        <f t="shared" si="3"/>
        <v>2078</v>
      </c>
      <c r="J11">
        <f t="shared" si="4"/>
        <v>992</v>
      </c>
      <c r="K11">
        <f t="shared" si="5"/>
        <v>35</v>
      </c>
      <c r="L11" s="54">
        <v>23.4</v>
      </c>
      <c r="M11" s="28">
        <v>512987</v>
      </c>
      <c r="N11" t="s">
        <v>88</v>
      </c>
      <c r="O11" t="s">
        <v>526</v>
      </c>
    </row>
    <row r="12" spans="1:18" x14ac:dyDescent="0.25">
      <c r="A12" t="s">
        <v>555</v>
      </c>
      <c r="B12">
        <v>450</v>
      </c>
      <c r="C12" t="s">
        <v>76</v>
      </c>
      <c r="D12">
        <v>41.52</v>
      </c>
      <c r="E12">
        <v>10.84</v>
      </c>
      <c r="F12">
        <v>11.46</v>
      </c>
      <c r="G12">
        <v>49.7</v>
      </c>
      <c r="H12" t="s">
        <v>553</v>
      </c>
      <c r="I12">
        <f t="shared" si="3"/>
        <v>2120</v>
      </c>
      <c r="J12">
        <f t="shared" si="4"/>
        <v>1052</v>
      </c>
      <c r="K12">
        <f t="shared" si="5"/>
        <v>40</v>
      </c>
      <c r="L12">
        <v>25</v>
      </c>
      <c r="M12" s="28">
        <v>566800</v>
      </c>
      <c r="N12" t="s">
        <v>431</v>
      </c>
      <c r="O12" t="s">
        <v>554</v>
      </c>
    </row>
    <row r="13" spans="1:18" x14ac:dyDescent="0.25">
      <c r="A13" t="s">
        <v>549</v>
      </c>
      <c r="B13">
        <v>455</v>
      </c>
      <c r="C13" t="s">
        <v>76</v>
      </c>
      <c r="D13">
        <v>41.82</v>
      </c>
      <c r="E13">
        <v>10.88</v>
      </c>
      <c r="F13">
        <v>11.41</v>
      </c>
      <c r="G13">
        <v>49.85</v>
      </c>
      <c r="H13" t="s">
        <v>553</v>
      </c>
      <c r="I13">
        <f t="shared" si="3"/>
        <v>2120</v>
      </c>
      <c r="J13">
        <f t="shared" si="4"/>
        <v>1052</v>
      </c>
      <c r="K13">
        <f t="shared" si="5"/>
        <v>40</v>
      </c>
      <c r="L13">
        <v>25</v>
      </c>
      <c r="M13" s="28">
        <v>544500</v>
      </c>
      <c r="N13" t="s">
        <v>431</v>
      </c>
      <c r="O13" t="s">
        <v>554</v>
      </c>
    </row>
    <row r="14" spans="1:18" x14ac:dyDescent="0.25">
      <c r="A14" t="s">
        <v>332</v>
      </c>
      <c r="B14">
        <v>465</v>
      </c>
      <c r="C14" t="s">
        <v>333</v>
      </c>
      <c r="D14">
        <v>43.18</v>
      </c>
      <c r="E14">
        <v>10.77</v>
      </c>
      <c r="F14">
        <v>11.59</v>
      </c>
      <c r="G14">
        <v>51.92</v>
      </c>
      <c r="H14" t="s">
        <v>535</v>
      </c>
      <c r="I14">
        <f t="shared" si="3"/>
        <v>2205</v>
      </c>
      <c r="J14">
        <f t="shared" si="4"/>
        <v>1032</v>
      </c>
      <c r="K14">
        <f t="shared" si="5"/>
        <v>35</v>
      </c>
      <c r="L14" s="54">
        <v>25</v>
      </c>
      <c r="M14" s="28">
        <v>649000</v>
      </c>
      <c r="N14" t="s">
        <v>88</v>
      </c>
      <c r="O14" t="s">
        <v>525</v>
      </c>
    </row>
    <row r="15" spans="1:18" x14ac:dyDescent="0.25">
      <c r="A15" t="s">
        <v>541</v>
      </c>
      <c r="B15">
        <v>470</v>
      </c>
      <c r="C15" t="s">
        <v>333</v>
      </c>
      <c r="D15">
        <v>43.28</v>
      </c>
      <c r="E15">
        <v>10.86</v>
      </c>
      <c r="F15">
        <v>11.68</v>
      </c>
      <c r="G15">
        <v>52.14</v>
      </c>
      <c r="H15" t="s">
        <v>535</v>
      </c>
      <c r="I15">
        <f t="shared" si="3"/>
        <v>2205</v>
      </c>
      <c r="J15">
        <f t="shared" si="4"/>
        <v>1032</v>
      </c>
      <c r="K15">
        <f t="shared" si="5"/>
        <v>35</v>
      </c>
      <c r="L15" s="54">
        <v>26.1</v>
      </c>
      <c r="M15" s="28">
        <f>1050*B15</f>
        <v>493500</v>
      </c>
      <c r="N15" t="s">
        <v>334</v>
      </c>
      <c r="O15" t="s">
        <v>525</v>
      </c>
    </row>
    <row r="16" spans="1:18" x14ac:dyDescent="0.25">
      <c r="A16" t="s">
        <v>540</v>
      </c>
      <c r="B16">
        <v>535</v>
      </c>
      <c r="C16" t="s">
        <v>333</v>
      </c>
      <c r="D16">
        <v>40.630000000000003</v>
      </c>
      <c r="E16">
        <v>13.17</v>
      </c>
      <c r="F16">
        <v>13.79</v>
      </c>
      <c r="G16">
        <v>49.38</v>
      </c>
      <c r="H16" t="s">
        <v>542</v>
      </c>
      <c r="I16">
        <f t="shared" si="3"/>
        <v>2274</v>
      </c>
      <c r="J16">
        <f t="shared" si="4"/>
        <v>1134</v>
      </c>
      <c r="K16">
        <f t="shared" si="5"/>
        <v>35</v>
      </c>
      <c r="L16">
        <v>28.9</v>
      </c>
      <c r="M16" s="28">
        <f>1100*B16</f>
        <v>588500</v>
      </c>
      <c r="N16" t="s">
        <v>334</v>
      </c>
      <c r="O16" t="s">
        <v>525</v>
      </c>
    </row>
    <row r="17" spans="1:15" x14ac:dyDescent="0.25">
      <c r="A17" t="s">
        <v>518</v>
      </c>
      <c r="B17">
        <v>90</v>
      </c>
      <c r="C17" t="s">
        <v>83</v>
      </c>
      <c r="D17">
        <v>17.5</v>
      </c>
      <c r="E17">
        <v>5.14</v>
      </c>
      <c r="F17">
        <v>5.45</v>
      </c>
      <c r="G17">
        <v>21.43</v>
      </c>
      <c r="H17" t="s">
        <v>533</v>
      </c>
      <c r="I17">
        <f t="shared" si="3"/>
        <v>1200</v>
      </c>
      <c r="J17">
        <f t="shared" si="4"/>
        <v>540</v>
      </c>
      <c r="K17">
        <f t="shared" si="5"/>
        <v>35</v>
      </c>
      <c r="L17" s="54">
        <v>6</v>
      </c>
      <c r="M17" s="28">
        <v>428738</v>
      </c>
      <c r="N17" t="s">
        <v>88</v>
      </c>
      <c r="O17" t="s">
        <v>520</v>
      </c>
    </row>
    <row r="18" spans="1:15" x14ac:dyDescent="0.25">
      <c r="A18" t="s">
        <v>82</v>
      </c>
      <c r="B18">
        <v>100</v>
      </c>
      <c r="C18" t="s">
        <v>83</v>
      </c>
      <c r="D18">
        <v>17.399999999999999</v>
      </c>
      <c r="E18">
        <v>5.75</v>
      </c>
      <c r="F18">
        <v>6.04</v>
      </c>
      <c r="G18">
        <v>21.58</v>
      </c>
      <c r="H18" t="s">
        <v>509</v>
      </c>
      <c r="I18">
        <f t="shared" si="3"/>
        <v>1020</v>
      </c>
      <c r="J18">
        <f t="shared" si="4"/>
        <v>670</v>
      </c>
      <c r="K18">
        <f t="shared" si="5"/>
        <v>30</v>
      </c>
      <c r="L18">
        <v>6.8</v>
      </c>
      <c r="M18" s="28">
        <v>195100</v>
      </c>
      <c r="N18" t="s">
        <v>88</v>
      </c>
      <c r="O18" t="s">
        <v>520</v>
      </c>
    </row>
    <row r="19" spans="1:15" x14ac:dyDescent="0.25">
      <c r="A19" t="s">
        <v>515</v>
      </c>
      <c r="B19">
        <v>160</v>
      </c>
      <c r="C19" t="s">
        <v>83</v>
      </c>
      <c r="D19">
        <v>19.010000000000002</v>
      </c>
      <c r="E19">
        <v>8.42</v>
      </c>
      <c r="F19">
        <v>8.93</v>
      </c>
      <c r="G19">
        <v>23.8</v>
      </c>
      <c r="H19" t="s">
        <v>530</v>
      </c>
      <c r="I19">
        <f t="shared" si="3"/>
        <v>149</v>
      </c>
      <c r="J19">
        <f t="shared" si="4"/>
        <v>67</v>
      </c>
      <c r="K19">
        <f t="shared" si="5"/>
        <v>35</v>
      </c>
      <c r="L19" s="54">
        <v>11.5</v>
      </c>
      <c r="M19" s="28">
        <v>215584</v>
      </c>
      <c r="N19" t="s">
        <v>88</v>
      </c>
      <c r="O19" t="s">
        <v>520</v>
      </c>
    </row>
    <row r="20" spans="1:15" x14ac:dyDescent="0.25">
      <c r="A20" t="s">
        <v>516</v>
      </c>
      <c r="B20">
        <v>200</v>
      </c>
      <c r="C20" t="s">
        <v>83</v>
      </c>
      <c r="D20">
        <v>18.55</v>
      </c>
      <c r="E20">
        <v>10.78</v>
      </c>
      <c r="F20">
        <v>11.52</v>
      </c>
      <c r="G20">
        <v>22.62</v>
      </c>
      <c r="H20" t="s">
        <v>531</v>
      </c>
      <c r="I20">
        <f t="shared" si="3"/>
        <v>1217</v>
      </c>
      <c r="J20">
        <f t="shared" si="4"/>
        <v>992</v>
      </c>
      <c r="K20">
        <f t="shared" si="5"/>
        <v>35</v>
      </c>
      <c r="L20" s="54">
        <v>13</v>
      </c>
      <c r="M20" s="28">
        <v>295065</v>
      </c>
      <c r="N20" t="s">
        <v>88</v>
      </c>
      <c r="O20" t="s">
        <v>520</v>
      </c>
    </row>
    <row r="21" spans="1:15" x14ac:dyDescent="0.25">
      <c r="A21" t="s">
        <v>84</v>
      </c>
      <c r="B21">
        <v>220</v>
      </c>
      <c r="C21" t="s">
        <v>83</v>
      </c>
      <c r="D21">
        <v>25.2</v>
      </c>
      <c r="E21">
        <v>8.73</v>
      </c>
      <c r="F21">
        <v>9.2799999999999994</v>
      </c>
      <c r="G21">
        <v>30.4</v>
      </c>
      <c r="H21" t="s">
        <v>510</v>
      </c>
      <c r="I21">
        <f t="shared" si="3"/>
        <v>1320</v>
      </c>
      <c r="J21">
        <f t="shared" si="4"/>
        <v>992</v>
      </c>
      <c r="K21">
        <f t="shared" si="5"/>
        <v>35</v>
      </c>
      <c r="L21">
        <v>13.4</v>
      </c>
      <c r="M21" s="28">
        <v>359000</v>
      </c>
      <c r="N21" t="s">
        <v>88</v>
      </c>
      <c r="O21" t="s">
        <v>521</v>
      </c>
    </row>
    <row r="22" spans="1:15" x14ac:dyDescent="0.25">
      <c r="A22" t="s">
        <v>517</v>
      </c>
      <c r="B22">
        <v>280</v>
      </c>
      <c r="C22" t="s">
        <v>83</v>
      </c>
      <c r="D22">
        <v>31.3</v>
      </c>
      <c r="E22">
        <v>8.9499999999999993</v>
      </c>
      <c r="F22">
        <v>9.57</v>
      </c>
      <c r="G22">
        <v>38.5</v>
      </c>
      <c r="H22" t="s">
        <v>532</v>
      </c>
      <c r="I22">
        <f t="shared" si="3"/>
        <v>1665</v>
      </c>
      <c r="J22">
        <f t="shared" si="4"/>
        <v>1002</v>
      </c>
      <c r="K22">
        <f t="shared" si="5"/>
        <v>35</v>
      </c>
      <c r="L22" s="54">
        <v>18.5</v>
      </c>
      <c r="M22" s="28">
        <v>410390</v>
      </c>
      <c r="N22" t="s">
        <v>88</v>
      </c>
      <c r="O22" t="s">
        <v>523</v>
      </c>
    </row>
    <row r="23" spans="1:15" x14ac:dyDescent="0.25">
      <c r="A23" t="s">
        <v>519</v>
      </c>
      <c r="B23">
        <v>280</v>
      </c>
      <c r="C23" t="s">
        <v>83</v>
      </c>
      <c r="D23">
        <v>31.4</v>
      </c>
      <c r="E23">
        <v>8.92</v>
      </c>
      <c r="F23">
        <v>9.25</v>
      </c>
      <c r="G23">
        <v>39</v>
      </c>
      <c r="H23" t="s">
        <v>534</v>
      </c>
      <c r="I23">
        <f t="shared" si="3"/>
        <v>1658</v>
      </c>
      <c r="J23">
        <f t="shared" si="4"/>
        <v>992</v>
      </c>
      <c r="K23">
        <f t="shared" si="5"/>
        <v>35</v>
      </c>
      <c r="L23" s="54">
        <v>21</v>
      </c>
      <c r="M23" s="28">
        <v>482792</v>
      </c>
      <c r="N23" t="s">
        <v>88</v>
      </c>
      <c r="O23" t="s">
        <v>527</v>
      </c>
    </row>
    <row r="24" spans="1:15" x14ac:dyDescent="0.25">
      <c r="A24" s="54" t="s">
        <v>85</v>
      </c>
      <c r="B24" s="54">
        <v>280</v>
      </c>
      <c r="C24" s="54" t="s">
        <v>83</v>
      </c>
      <c r="D24" s="54">
        <v>31.4</v>
      </c>
      <c r="E24" s="54">
        <v>8.92</v>
      </c>
      <c r="F24" s="54">
        <v>9.4499999999999993</v>
      </c>
      <c r="G24" s="54">
        <v>38.200000000000003</v>
      </c>
      <c r="H24" s="54" t="s">
        <v>511</v>
      </c>
      <c r="I24">
        <f t="shared" si="3"/>
        <v>1640</v>
      </c>
      <c r="J24">
        <f t="shared" si="4"/>
        <v>992</v>
      </c>
      <c r="K24">
        <f t="shared" si="5"/>
        <v>35</v>
      </c>
      <c r="L24" s="54">
        <v>17.5</v>
      </c>
      <c r="M24" s="55">
        <v>387200</v>
      </c>
      <c r="N24" s="54" t="s">
        <v>88</v>
      </c>
      <c r="O24" t="s">
        <v>522</v>
      </c>
    </row>
    <row r="25" spans="1:15" x14ac:dyDescent="0.25">
      <c r="A25" t="s">
        <v>86</v>
      </c>
      <c r="B25">
        <v>330</v>
      </c>
      <c r="C25" t="s">
        <v>83</v>
      </c>
      <c r="D25">
        <v>37.700000000000003</v>
      </c>
      <c r="E25">
        <v>8.76</v>
      </c>
      <c r="F25">
        <v>9.27</v>
      </c>
      <c r="G25">
        <v>45.9</v>
      </c>
      <c r="H25" t="s">
        <v>512</v>
      </c>
      <c r="I25">
        <f t="shared" si="3"/>
        <v>1960</v>
      </c>
      <c r="J25">
        <f t="shared" si="4"/>
        <v>992</v>
      </c>
      <c r="K25">
        <f t="shared" si="5"/>
        <v>35</v>
      </c>
      <c r="L25" s="54">
        <v>22</v>
      </c>
      <c r="M25" s="28">
        <v>462000</v>
      </c>
      <c r="N25" t="s">
        <v>88</v>
      </c>
      <c r="O25" t="s">
        <v>523</v>
      </c>
    </row>
    <row r="26" spans="1:15" x14ac:dyDescent="0.25">
      <c r="A26" t="s">
        <v>546</v>
      </c>
      <c r="B26">
        <v>340</v>
      </c>
      <c r="C26" t="s">
        <v>83</v>
      </c>
      <c r="D26">
        <v>38.5</v>
      </c>
      <c r="E26">
        <v>8.84</v>
      </c>
      <c r="F26">
        <v>9.4499999999999993</v>
      </c>
      <c r="G26">
        <v>46.4</v>
      </c>
      <c r="H26" t="s">
        <v>507</v>
      </c>
      <c r="I26">
        <f t="shared" si="3"/>
        <v>1956</v>
      </c>
      <c r="J26">
        <f t="shared" si="4"/>
        <v>992</v>
      </c>
      <c r="K26">
        <f t="shared" si="5"/>
        <v>40</v>
      </c>
      <c r="L26">
        <v>20.9</v>
      </c>
      <c r="M26" s="28">
        <v>464000</v>
      </c>
      <c r="N26" t="s">
        <v>431</v>
      </c>
      <c r="O26" t="s">
        <v>528</v>
      </c>
    </row>
    <row r="27" spans="1:15" x14ac:dyDescent="0.25">
      <c r="A27" t="s">
        <v>89</v>
      </c>
      <c r="B27">
        <v>345</v>
      </c>
      <c r="C27" t="s">
        <v>83</v>
      </c>
      <c r="D27">
        <v>38.299999999999997</v>
      </c>
      <c r="E27">
        <v>9.01</v>
      </c>
      <c r="F27">
        <v>9.2799999999999994</v>
      </c>
      <c r="G27">
        <v>47</v>
      </c>
      <c r="H27" t="s">
        <v>513</v>
      </c>
      <c r="I27">
        <f t="shared" si="3"/>
        <v>2000</v>
      </c>
      <c r="J27">
        <f t="shared" si="4"/>
        <v>992</v>
      </c>
      <c r="K27">
        <f t="shared" si="5"/>
        <v>30</v>
      </c>
      <c r="L27" s="54">
        <v>25.5</v>
      </c>
      <c r="M27" s="28">
        <v>499000</v>
      </c>
      <c r="N27" t="s">
        <v>88</v>
      </c>
      <c r="O27" t="s">
        <v>527</v>
      </c>
    </row>
    <row r="28" spans="1:15" x14ac:dyDescent="0.25">
      <c r="A28" t="s">
        <v>90</v>
      </c>
      <c r="B28">
        <v>365</v>
      </c>
      <c r="C28" t="s">
        <v>83</v>
      </c>
      <c r="D28">
        <v>39.4</v>
      </c>
      <c r="E28">
        <v>9.27</v>
      </c>
      <c r="F28">
        <v>9.77</v>
      </c>
      <c r="G28">
        <v>47.2</v>
      </c>
      <c r="H28" t="s">
        <v>514</v>
      </c>
      <c r="I28">
        <f t="shared" si="3"/>
        <v>2000</v>
      </c>
      <c r="J28">
        <f t="shared" si="4"/>
        <v>992</v>
      </c>
      <c r="K28">
        <f t="shared" si="5"/>
        <v>35</v>
      </c>
      <c r="L28" s="54">
        <v>22.5</v>
      </c>
      <c r="M28" s="28">
        <v>487900</v>
      </c>
      <c r="N28" t="s">
        <v>88</v>
      </c>
      <c r="O28" t="s">
        <v>526</v>
      </c>
    </row>
    <row r="29" spans="1:15" x14ac:dyDescent="0.25">
      <c r="A29" t="s">
        <v>610</v>
      </c>
      <c r="B29">
        <v>10</v>
      </c>
      <c r="C29" t="s">
        <v>83</v>
      </c>
      <c r="D29">
        <v>39.4</v>
      </c>
      <c r="E29">
        <v>9.27</v>
      </c>
      <c r="F29">
        <v>9.77</v>
      </c>
      <c r="G29">
        <v>47.2</v>
      </c>
      <c r="H29" t="s">
        <v>514</v>
      </c>
      <c r="I29">
        <f t="shared" ref="I29" si="6">_xlfn.NUMBERVALUE(MID(H29,1,4))</f>
        <v>2000</v>
      </c>
      <c r="J29">
        <f t="shared" ref="J29" si="7">_xlfn.NUMBERVALUE(MID(H29,6,4))</f>
        <v>992</v>
      </c>
      <c r="K29">
        <f t="shared" ref="K29" si="8">_xlfn.NUMBERVALUE(MID(H29,11,4))</f>
        <v>35</v>
      </c>
      <c r="L29" s="54">
        <v>22.5</v>
      </c>
      <c r="M29" s="28">
        <v>67000</v>
      </c>
      <c r="N29" t="s">
        <v>88</v>
      </c>
      <c r="O29" t="s">
        <v>611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"/>
  <sheetViews>
    <sheetView workbookViewId="0">
      <selection activeCell="C23" sqref="C23"/>
    </sheetView>
  </sheetViews>
  <sheetFormatPr baseColWidth="10" defaultColWidth="9.140625" defaultRowHeight="15" x14ac:dyDescent="0.25"/>
  <sheetData>
    <row r="1" spans="1:3" x14ac:dyDescent="0.25">
      <c r="A1" t="s">
        <v>2</v>
      </c>
      <c r="B1" t="s">
        <v>115</v>
      </c>
      <c r="C1" t="s">
        <v>472</v>
      </c>
    </row>
    <row r="2" spans="1:3" x14ac:dyDescent="0.25">
      <c r="C2">
        <v>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4"/>
  <sheetViews>
    <sheetView workbookViewId="0">
      <selection activeCell="E13" sqref="E13"/>
    </sheetView>
  </sheetViews>
  <sheetFormatPr baseColWidth="10" defaultRowHeight="15" x14ac:dyDescent="0.25"/>
  <cols>
    <col min="2" max="2" width="32.5703125" bestFit="1" customWidth="1"/>
    <col min="4" max="4" width="54.28515625" customWidth="1"/>
    <col min="5" max="5" width="13" bestFit="1" customWidth="1"/>
    <col min="6" max="6" width="14.7109375" bestFit="1" customWidth="1"/>
    <col min="7" max="7" width="14.5703125" bestFit="1" customWidth="1"/>
  </cols>
  <sheetData>
    <row r="1" spans="1:8" x14ac:dyDescent="0.25">
      <c r="A1" t="str">
        <f>'Cálculo sistema (2)'!B145</f>
        <v>N</v>
      </c>
      <c r="B1" t="str">
        <f>'Cálculo sistema (2)'!C145</f>
        <v>ITEM</v>
      </c>
      <c r="C1" t="str">
        <f>'Cálculo sistema (2)'!E145</f>
        <v>CANT</v>
      </c>
      <c r="D1" t="str">
        <f>'Cálculo sistema (2)'!F145</f>
        <v>Descripción</v>
      </c>
      <c r="E1" t="str">
        <f>'Cálculo sistema (2)'!H145</f>
        <v>Costo Unitario</v>
      </c>
      <c r="F1" t="str">
        <f>'Cálculo sistema (2)'!I145</f>
        <v>Costo</v>
      </c>
      <c r="G1" t="str">
        <f>'Cálculo sistema (2)'!J145</f>
        <v>Precio</v>
      </c>
      <c r="H1" t="str">
        <f>'Cálculo sistema (2)'!K145</f>
        <v>Rentabilidad</v>
      </c>
    </row>
    <row r="2" spans="1:8" x14ac:dyDescent="0.25">
      <c r="A2">
        <f>'Cálculo sistema (2)'!B146</f>
        <v>1</v>
      </c>
      <c r="B2" t="str">
        <f>'Cálculo sistema (2)'!C146</f>
        <v>MODULO SOLAR POLICRISTALINO</v>
      </c>
      <c r="C2">
        <f>'Cálculo sistema (2)'!E146</f>
        <v>3</v>
      </c>
      <c r="D2" t="str">
        <f>'Cálculo sistema (2)'!F146</f>
        <v>10 Watts Policristalino</v>
      </c>
      <c r="E2" s="28">
        <f>'Cálculo sistema (2)'!H146</f>
        <v>67000</v>
      </c>
      <c r="F2" s="28">
        <f>'Cálculo sistema (2)'!I146</f>
        <v>268000</v>
      </c>
      <c r="G2" s="28">
        <f>'Cálculo sistema (2)'!J146</f>
        <v>335000</v>
      </c>
      <c r="H2">
        <f>'Cálculo sistema (2)'!K146</f>
        <v>0.8</v>
      </c>
    </row>
    <row r="3" spans="1:8" x14ac:dyDescent="0.25">
      <c r="A3">
        <f>'Cálculo sistema (2)'!B147</f>
        <v>2</v>
      </c>
      <c r="B3" t="str">
        <f>'Cálculo sistema (2)'!C147</f>
        <v>SOPORTE PANELES SOLARES</v>
      </c>
      <c r="C3">
        <f>'Cálculo sistema (2)'!E147</f>
        <v>1</v>
      </c>
      <c r="D3" t="str">
        <f>'Cálculo sistema (2)'!F147</f>
        <v>SOPORTE PARA 3 PANEL SOLAR CON FIJACIÓN A POSTE</v>
      </c>
      <c r="E3" s="28">
        <f>'Cálculo sistema (2)'!H147</f>
        <v>150000</v>
      </c>
      <c r="F3" s="28">
        <f>'Cálculo sistema (2)'!I147</f>
        <v>190000</v>
      </c>
      <c r="G3" s="28">
        <f>'Cálculo sistema (2)'!J147</f>
        <v>187500</v>
      </c>
      <c r="H3">
        <f>'Cálculo sistema (2)'!K147</f>
        <v>0.8</v>
      </c>
    </row>
    <row r="4" spans="1:8" x14ac:dyDescent="0.25">
      <c r="A4">
        <f>'Cálculo sistema (2)'!B148</f>
        <v>3</v>
      </c>
      <c r="B4" t="str">
        <f>'Cálculo sistema (2)'!C148</f>
        <v>BATERIA</v>
      </c>
      <c r="C4">
        <f>'Cálculo sistema (2)'!E148</f>
        <v>1</v>
      </c>
      <c r="D4" t="str">
        <f>'Cálculo sistema (2)'!F148</f>
        <v>Batería AGM 12VDC - 26AH Greencol</v>
      </c>
      <c r="E4" s="28">
        <f>'Cálculo sistema (2)'!H148</f>
        <v>190009</v>
      </c>
      <c r="F4" s="28">
        <f>'Cálculo sistema (2)'!I148</f>
        <v>190009</v>
      </c>
      <c r="G4" s="28">
        <f>'Cálculo sistema (2)'!J148</f>
        <v>237511.25</v>
      </c>
      <c r="H4">
        <f>'Cálculo sistema (2)'!K148</f>
        <v>0.8</v>
      </c>
    </row>
    <row r="5" spans="1:8" x14ac:dyDescent="0.25">
      <c r="A5">
        <f>'Cálculo sistema (2)'!B149</f>
        <v>4</v>
      </c>
      <c r="B5" t="str">
        <f>'Cálculo sistema (2)'!C149</f>
        <v>CONTROLADOR</v>
      </c>
      <c r="C5">
        <f>'Cálculo sistema (2)'!E149</f>
        <v>1</v>
      </c>
      <c r="D5" t="str">
        <f>'Cálculo sistema (2)'!F149</f>
        <v>Controlador PWM 10A - 12V/24V</v>
      </c>
      <c r="E5" s="28">
        <f>'Cálculo sistema (2)'!H149</f>
        <v>69765</v>
      </c>
      <c r="F5" s="28">
        <f>'Cálculo sistema (2)'!I149</f>
        <v>69765</v>
      </c>
      <c r="G5" s="28">
        <f>'Cálculo sistema (2)'!J149</f>
        <v>87206.25</v>
      </c>
      <c r="H5">
        <f>'Cálculo sistema (2)'!K149</f>
        <v>0.8</v>
      </c>
    </row>
    <row r="6" spans="1:8" ht="30" customHeight="1" x14ac:dyDescent="0.25">
      <c r="A6">
        <f>'Cálculo sistema (2)'!B150</f>
        <v>5</v>
      </c>
      <c r="B6" t="str">
        <f>'Cálculo sistema (2)'!C150</f>
        <v>TABLERO</v>
      </c>
      <c r="C6">
        <f>'Cálculo sistema (2)'!E150</f>
        <v>1</v>
      </c>
      <c r="D6" s="81" t="str">
        <f>'Cálculo sistema (2)'!F150</f>
        <v>Tablero para soporte 45 Kg con dimensiones 33 cm de ancho, 64,5 cm de alto</v>
      </c>
      <c r="E6" s="28">
        <f>'Cálculo sistema (2)'!H150</f>
        <v>200000</v>
      </c>
      <c r="F6" s="28">
        <f>'Cálculo sistema (2)'!I150</f>
        <v>200000</v>
      </c>
      <c r="G6" s="28">
        <f>'Cálculo sistema (2)'!J150</f>
        <v>250000</v>
      </c>
      <c r="H6">
        <f>'Cálculo sistema (2)'!K150</f>
        <v>0.8</v>
      </c>
    </row>
    <row r="7" spans="1:8" ht="29.25" customHeight="1" x14ac:dyDescent="0.25">
      <c r="A7" t="e">
        <f>'Cálculo sistema (2)'!#REF!</f>
        <v>#REF!</v>
      </c>
      <c r="B7" t="e">
        <f>'Cálculo sistema (2)'!#REF!</f>
        <v>#REF!</v>
      </c>
      <c r="C7" t="e">
        <f>'Cálculo sistema (2)'!#REF!</f>
        <v>#REF!</v>
      </c>
      <c r="D7" s="81" t="e">
        <f>'Cálculo sistema (2)'!#REF!</f>
        <v>#REF!</v>
      </c>
      <c r="E7" s="28" t="e">
        <f>'Cálculo sistema (2)'!#REF!</f>
        <v>#REF!</v>
      </c>
      <c r="F7" s="28" t="e">
        <f>'Cálculo sistema (2)'!#REF!</f>
        <v>#REF!</v>
      </c>
      <c r="G7" s="28" t="e">
        <f>'Cálculo sistema (2)'!#REF!</f>
        <v>#REF!</v>
      </c>
      <c r="H7" t="e">
        <f>'Cálculo sistema (2)'!#REF!</f>
        <v>#REF!</v>
      </c>
    </row>
    <row r="8" spans="1:8" x14ac:dyDescent="0.25">
      <c r="A8">
        <f>'Cálculo sistema (2)'!B151</f>
        <v>6</v>
      </c>
      <c r="B8" t="str">
        <f>'Cálculo sistema (2)'!C151</f>
        <v>ACCESORIOS</v>
      </c>
      <c r="C8">
        <f>'Cálculo sistema (2)'!E151</f>
        <v>1</v>
      </c>
      <c r="D8" t="str">
        <f>'Cálculo sistema (2)'!F151</f>
        <v xml:space="preserve">Breakers DC Borneras Frenos Canaleta </v>
      </c>
      <c r="E8" s="28">
        <f>'Cálculo sistema (2)'!H151</f>
        <v>86800</v>
      </c>
      <c r="F8" s="28">
        <f>'Cálculo sistema (2)'!I151</f>
        <v>86800</v>
      </c>
      <c r="G8" s="28">
        <f>'Cálculo sistema (2)'!J151</f>
        <v>108500</v>
      </c>
      <c r="H8">
        <f>'Cálculo sistema (2)'!K151</f>
        <v>0.8</v>
      </c>
    </row>
    <row r="9" spans="1:8" x14ac:dyDescent="0.25">
      <c r="A9">
        <f>'Cálculo sistema (2)'!B152</f>
        <v>7</v>
      </c>
      <c r="B9" t="str">
        <f>'Cálculo sistema (2)'!C152</f>
        <v>CABLEADO</v>
      </c>
      <c r="C9">
        <f>'Cálculo sistema (2)'!E152</f>
        <v>10</v>
      </c>
      <c r="D9" t="str">
        <f>'Cálculo sistema (2)'!F152</f>
        <v>Cable Fotovoltaico 1m 6mm</v>
      </c>
      <c r="E9" s="28">
        <f>'Cálculo sistema (2)'!H152</f>
        <v>6378.4</v>
      </c>
      <c r="F9" s="28">
        <f>'Cálculo sistema (2)'!I152</f>
        <v>63784</v>
      </c>
      <c r="G9" s="28">
        <f>'Cálculo sistema (2)'!J152</f>
        <v>79730</v>
      </c>
      <c r="H9">
        <f>'Cálculo sistema (2)'!K152</f>
        <v>0.8</v>
      </c>
    </row>
    <row r="10" spans="1:8" ht="30.75" customHeight="1" x14ac:dyDescent="0.25">
      <c r="A10">
        <f>'Cálculo sistema (2)'!B153</f>
        <v>8</v>
      </c>
      <c r="B10" t="str">
        <f>'Cálculo sistema (2)'!C153</f>
        <v>ASESORAMIENTO E INGENIERÍA</v>
      </c>
      <c r="C10">
        <f>'Cálculo sistema (2)'!E153</f>
        <v>3</v>
      </c>
      <c r="D10" s="81" t="str">
        <f>'Cálculo sistema (2)'!F153</f>
        <v>Acompañamiento durante la instalación del sistema, elaboaración de manuales de instalación y respaldo durante la puesta en marcha.</v>
      </c>
      <c r="E10" s="28">
        <f>'Cálculo sistema (2)'!H153</f>
        <v>75000</v>
      </c>
      <c r="F10" s="28">
        <f>'Cálculo sistema (2)'!I153</f>
        <v>225000</v>
      </c>
      <c r="G10" s="28">
        <f>'Cálculo sistema (2)'!J153</f>
        <v>281250</v>
      </c>
      <c r="H10">
        <f>'Cálculo sistema (2)'!K153</f>
        <v>0.8</v>
      </c>
    </row>
    <row r="11" spans="1:8" x14ac:dyDescent="0.25">
      <c r="A11" t="e">
        <f>'Cálculo sistema (2)'!#REF!</f>
        <v>#REF!</v>
      </c>
      <c r="B11" t="e">
        <f>'Cálculo sistema (2)'!#REF!</f>
        <v>#REF!</v>
      </c>
      <c r="C11" t="e">
        <f>'Cálculo sistema (2)'!#REF!</f>
        <v>#REF!</v>
      </c>
      <c r="D11" t="e">
        <f>'Cálculo sistema (2)'!#REF!</f>
        <v>#REF!</v>
      </c>
      <c r="E11" s="28" t="e">
        <f>'Cálculo sistema (2)'!#REF!</f>
        <v>#REF!</v>
      </c>
      <c r="F11" s="28" t="e">
        <f>'Cálculo sistema (2)'!#REF!</f>
        <v>#REF!</v>
      </c>
      <c r="G11" s="28" t="e">
        <f>'Cálculo sistema (2)'!#REF!</f>
        <v>#REF!</v>
      </c>
      <c r="H11" t="e">
        <f>'Cálculo sistema (2)'!#REF!</f>
        <v>#REF!</v>
      </c>
    </row>
    <row r="12" spans="1:8" x14ac:dyDescent="0.25">
      <c r="A12">
        <f>'Cálculo sistema (2)'!B154</f>
        <v>9</v>
      </c>
      <c r="B12" t="str">
        <f>'Cálculo sistema (2)'!C154</f>
        <v>MANO DE OBRA TABLERO</v>
      </c>
      <c r="C12">
        <f>'Cálculo sistema (2)'!E154</f>
        <v>1</v>
      </c>
      <c r="E12" s="28">
        <f>'Cálculo sistema (2)'!H154</f>
        <v>100000</v>
      </c>
      <c r="F12" s="28">
        <f>'Cálculo sistema (2)'!I154</f>
        <v>100000</v>
      </c>
      <c r="G12" s="28">
        <f>'Cálculo sistema (2)'!J154</f>
        <v>142857.14285714287</v>
      </c>
      <c r="H12">
        <f>'Cálculo sistema (2)'!K154</f>
        <v>0.7</v>
      </c>
    </row>
    <row r="13" spans="1:8" x14ac:dyDescent="0.25">
      <c r="A13">
        <f>'Cálculo sistema (2)'!B155</f>
        <v>10</v>
      </c>
      <c r="B13" t="str">
        <f>'Cálculo sistema (2)'!C155</f>
        <v>EMPAQUE</v>
      </c>
      <c r="C13">
        <f>'Cálculo sistema (2)'!E155</f>
        <v>1</v>
      </c>
      <c r="D13">
        <f>'Cálculo sistema (2)'!F155</f>
        <v>0</v>
      </c>
      <c r="E13" s="28">
        <f>'Cálculo sistema (2)'!H155</f>
        <v>50000</v>
      </c>
      <c r="F13" s="28">
        <f>'Cálculo sistema (2)'!I155</f>
        <v>50000</v>
      </c>
      <c r="G13" s="28">
        <f>'Cálculo sistema (2)'!J155</f>
        <v>62500</v>
      </c>
      <c r="H13">
        <f>'Cálculo sistema (2)'!K155</f>
        <v>0.8</v>
      </c>
    </row>
    <row r="14" spans="1:8" x14ac:dyDescent="0.25">
      <c r="E14" t="str">
        <f>'Cálculo sistema (2)'!H157</f>
        <v>TOTAL</v>
      </c>
      <c r="F14" s="28">
        <f>'Cálculo sistema (2)'!I157</f>
        <v>1443358</v>
      </c>
      <c r="G14" s="28">
        <f>'Cálculo sistema (2)'!J157</f>
        <v>1772054.642857143</v>
      </c>
      <c r="H14">
        <f>'Cálculo sistema (2)'!K157</f>
        <v>0.81451100044681779</v>
      </c>
    </row>
  </sheetData>
  <pageMargins left="0.7" right="0.7" top="0.75" bottom="0.75" header="0.3" footer="0.3"/>
  <pageSetup scale="74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20BF1A-043E-49EA-B700-EAC056D6EC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AF</vt:lpstr>
      <vt:lpstr>Irradiación</vt:lpstr>
      <vt:lpstr>Cálculo sistema</vt:lpstr>
      <vt:lpstr>Cableado-Acometida</vt:lpstr>
      <vt:lpstr>Cálculo sistema (2)</vt:lpstr>
      <vt:lpstr>Cab&amp;Con</vt:lpstr>
      <vt:lpstr>Baterias</vt:lpstr>
      <vt:lpstr>Controladores</vt:lpstr>
      <vt:lpstr>Paneles</vt:lpstr>
      <vt:lpstr>Inversores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BEDOYA</dc:creator>
  <cp:lastModifiedBy>USUARIO</cp:lastModifiedBy>
  <cp:lastPrinted>2021-05-19T16:55:00Z</cp:lastPrinted>
  <dcterms:created xsi:type="dcterms:W3CDTF">2020-08-27T14:29:16Z</dcterms:created>
  <dcterms:modified xsi:type="dcterms:W3CDTF">2021-07-13T15:33:24Z</dcterms:modified>
</cp:coreProperties>
</file>